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recovery-my.sharepoint.com/personal/utsavc_sulfurrecovery_com/Documents/Desktop/SRE/01 - Timesheet/"/>
    </mc:Choice>
  </mc:AlternateContent>
  <xr:revisionPtr revIDLastSave="2610" documentId="8_{DB51014D-9167-4412-B40F-7F50469BBD59}" xr6:coauthVersionLast="47" xr6:coauthVersionMax="47" xr10:uidLastSave="{733BF5A2-DF29-408C-8F2E-5350F8B3FFA1}"/>
  <bookViews>
    <workbookView xWindow="-120" yWindow="-120" windowWidth="29040" windowHeight="15720" tabRatio="500" firstSheet="1" activeTab="1" xr2:uid="{00000000-000D-0000-FFFF-FFFF00000000}"/>
  </bookViews>
  <sheets>
    <sheet name="📋 Instructions" sheetId="1" r:id="rId1"/>
    <sheet name="Weekly Timesheet" sheetId="2" r:id="rId2"/>
    <sheet name="📄 Weekly Report" sheetId="3" r:id="rId3"/>
    <sheet name="📄 Weekly Report (Backup)" sheetId="8" state="hidden" r:id="rId4"/>
    <sheet name="📊 TIL Summary" sheetId="4" r:id="rId5"/>
    <sheet name="🏖 Vacation Summary" sheetId="5" r:id="rId6"/>
    <sheet name="📁 Approval Log" sheetId="6" r:id="rId7"/>
    <sheet name="🗂 Reference Data" sheetId="7" r:id="rId8"/>
  </sheets>
  <definedNames>
    <definedName name="AdminSubs">'🗂 Reference Data'!$C$2:$C$8</definedName>
    <definedName name="OfficeSubs">'🗂 Reference Data'!$D$2:$D$8</definedName>
    <definedName name="_xlnm.Print_Area" localSheetId="1">'Weekly Timesheet'!$A$1:$N$34</definedName>
    <definedName name="_xlnm.Print_Area" localSheetId="2">'📄 Weekly Report'!$A$1:$W$68</definedName>
    <definedName name="_xlnm.Print_Area" localSheetId="3">'📄 Weekly Report (Backup)'!$A$1:$N$96</definedName>
    <definedName name="ProjectSubs">'🗂 Reference Data'!$B$2:$B$10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5" i="2" l="1"/>
  <c r="M18" i="2"/>
  <c r="K30" i="2"/>
  <c r="J30" i="2"/>
  <c r="F30" i="2" a="1"/>
  <c r="F30" i="2" s="1"/>
  <c r="G30" i="2" a="1"/>
  <c r="G30" i="2" s="1"/>
  <c r="H30" i="2" a="1"/>
  <c r="H30" i="2" s="1"/>
  <c r="I30" i="2" a="1"/>
  <c r="I30" i="2" s="1"/>
  <c r="E30" i="2" a="1"/>
  <c r="E30" i="2" s="1"/>
  <c r="F16" i="3"/>
  <c r="M30" i="2" l="1"/>
  <c r="I9" i="2" s="1"/>
  <c r="D9" i="5"/>
  <c r="D8" i="5"/>
  <c r="D7" i="5"/>
  <c r="L66" i="3" l="1"/>
  <c r="K66" i="3"/>
  <c r="J66" i="3"/>
  <c r="I66" i="3"/>
  <c r="H66" i="3"/>
  <c r="G66" i="3"/>
  <c r="F66" i="3"/>
  <c r="W65" i="3"/>
  <c r="M65" i="3"/>
  <c r="L65" i="3"/>
  <c r="K65" i="3"/>
  <c r="J65" i="3"/>
  <c r="I65" i="3"/>
  <c r="H65" i="3"/>
  <c r="G65" i="3"/>
  <c r="F65" i="3"/>
  <c r="E65" i="3"/>
  <c r="D65" i="3"/>
  <c r="C65" i="3"/>
  <c r="B65" i="3"/>
  <c r="W64" i="3"/>
  <c r="M64" i="3"/>
  <c r="L64" i="3"/>
  <c r="K64" i="3"/>
  <c r="J64" i="3"/>
  <c r="I64" i="3"/>
  <c r="H64" i="3"/>
  <c r="G64" i="3"/>
  <c r="F64" i="3"/>
  <c r="E64" i="3"/>
  <c r="D64" i="3"/>
  <c r="C64" i="3"/>
  <c r="B64" i="3"/>
  <c r="W63" i="3"/>
  <c r="M63" i="3"/>
  <c r="L63" i="3"/>
  <c r="K63" i="3"/>
  <c r="J63" i="3"/>
  <c r="I63" i="3"/>
  <c r="H63" i="3"/>
  <c r="G63" i="3"/>
  <c r="F63" i="3"/>
  <c r="E63" i="3"/>
  <c r="D63" i="3"/>
  <c r="C63" i="3"/>
  <c r="B63" i="3"/>
  <c r="W62" i="3"/>
  <c r="M62" i="3"/>
  <c r="L62" i="3"/>
  <c r="K62" i="3"/>
  <c r="J62" i="3"/>
  <c r="I62" i="3"/>
  <c r="H62" i="3"/>
  <c r="G62" i="3"/>
  <c r="F62" i="3"/>
  <c r="E62" i="3"/>
  <c r="D62" i="3"/>
  <c r="C62" i="3"/>
  <c r="B62" i="3"/>
  <c r="M61" i="3"/>
  <c r="L61" i="3"/>
  <c r="K61" i="3"/>
  <c r="J61" i="3"/>
  <c r="I61" i="3"/>
  <c r="H61" i="3"/>
  <c r="G61" i="3"/>
  <c r="F61" i="3"/>
  <c r="E61" i="3"/>
  <c r="D61" i="3"/>
  <c r="C61" i="3"/>
  <c r="B61" i="3"/>
  <c r="W60" i="3"/>
  <c r="M60" i="3"/>
  <c r="L60" i="3"/>
  <c r="K60" i="3"/>
  <c r="J60" i="3"/>
  <c r="I60" i="3"/>
  <c r="H60" i="3"/>
  <c r="G60" i="3"/>
  <c r="F60" i="3"/>
  <c r="E60" i="3"/>
  <c r="D60" i="3"/>
  <c r="C60" i="3"/>
  <c r="B60" i="3"/>
  <c r="M59" i="3"/>
  <c r="L59" i="3"/>
  <c r="K59" i="3"/>
  <c r="J59" i="3"/>
  <c r="I59" i="3"/>
  <c r="H59" i="3"/>
  <c r="G59" i="3"/>
  <c r="F59" i="3"/>
  <c r="E59" i="3"/>
  <c r="D59" i="3"/>
  <c r="C59" i="3"/>
  <c r="B59" i="3"/>
  <c r="M58" i="3"/>
  <c r="L58" i="3"/>
  <c r="K58" i="3"/>
  <c r="J58" i="3"/>
  <c r="I58" i="3"/>
  <c r="H58" i="3"/>
  <c r="G58" i="3"/>
  <c r="F58" i="3"/>
  <c r="E58" i="3"/>
  <c r="D58" i="3"/>
  <c r="C58" i="3"/>
  <c r="B58" i="3"/>
  <c r="M57" i="3"/>
  <c r="L57" i="3"/>
  <c r="K57" i="3"/>
  <c r="J57" i="3"/>
  <c r="I57" i="3"/>
  <c r="H57" i="3"/>
  <c r="G57" i="3"/>
  <c r="F57" i="3"/>
  <c r="E57" i="3"/>
  <c r="D57" i="3"/>
  <c r="C57" i="3"/>
  <c r="B57" i="3"/>
  <c r="M56" i="3"/>
  <c r="L56" i="3"/>
  <c r="K56" i="3"/>
  <c r="J56" i="3"/>
  <c r="I56" i="3"/>
  <c r="H56" i="3"/>
  <c r="G56" i="3"/>
  <c r="F56" i="3"/>
  <c r="E56" i="3"/>
  <c r="D56" i="3"/>
  <c r="C56" i="3"/>
  <c r="B56" i="3"/>
  <c r="M55" i="3"/>
  <c r="L55" i="3"/>
  <c r="K55" i="3"/>
  <c r="J55" i="3"/>
  <c r="I55" i="3"/>
  <c r="H55" i="3"/>
  <c r="G55" i="3"/>
  <c r="F55" i="3"/>
  <c r="E55" i="3"/>
  <c r="D55" i="3"/>
  <c r="C55" i="3"/>
  <c r="B55" i="3"/>
  <c r="M54" i="3"/>
  <c r="L54" i="3"/>
  <c r="K54" i="3"/>
  <c r="J54" i="3"/>
  <c r="I54" i="3"/>
  <c r="H54" i="3"/>
  <c r="G54" i="3"/>
  <c r="F54" i="3"/>
  <c r="E54" i="3"/>
  <c r="D54" i="3"/>
  <c r="C54" i="3"/>
  <c r="B54" i="3"/>
  <c r="M53" i="3"/>
  <c r="L53" i="3"/>
  <c r="K53" i="3"/>
  <c r="J53" i="3"/>
  <c r="I53" i="3"/>
  <c r="H53" i="3"/>
  <c r="G53" i="3"/>
  <c r="F53" i="3"/>
  <c r="E53" i="3"/>
  <c r="D53" i="3"/>
  <c r="C53" i="3"/>
  <c r="B53" i="3"/>
  <c r="M52" i="3"/>
  <c r="L52" i="3"/>
  <c r="K52" i="3"/>
  <c r="J52" i="3"/>
  <c r="I52" i="3"/>
  <c r="H52" i="3"/>
  <c r="G52" i="3"/>
  <c r="F52" i="3"/>
  <c r="E52" i="3"/>
  <c r="D52" i="3"/>
  <c r="C52" i="3"/>
  <c r="B52" i="3"/>
  <c r="M51" i="3"/>
  <c r="L51" i="3"/>
  <c r="K51" i="3"/>
  <c r="J51" i="3"/>
  <c r="I51" i="3"/>
  <c r="H51" i="3"/>
  <c r="G51" i="3"/>
  <c r="F51" i="3"/>
  <c r="E51" i="3"/>
  <c r="D51" i="3"/>
  <c r="C51" i="3"/>
  <c r="B51" i="3"/>
  <c r="V39" i="3"/>
  <c r="U39" i="3"/>
  <c r="T39" i="3"/>
  <c r="S39" i="3"/>
  <c r="R39" i="3"/>
  <c r="Q39" i="3"/>
  <c r="N38" i="3" a="1"/>
  <c r="N38" i="3" s="1"/>
  <c r="W38" i="3" s="1"/>
  <c r="N37" i="3" a="1"/>
  <c r="N37" i="3" s="1"/>
  <c r="W37" i="3" s="1"/>
  <c r="N36" i="3" a="1"/>
  <c r="N36" i="3" s="1"/>
  <c r="W36" i="3" s="1"/>
  <c r="N35" i="3" a="1"/>
  <c r="N35" i="3" s="1"/>
  <c r="W35" i="3" s="1"/>
  <c r="N34" i="3" a="1"/>
  <c r="N34" i="3" s="1"/>
  <c r="R34" i="3" s="1"/>
  <c r="N33" i="3" a="1"/>
  <c r="N33" i="3" s="1"/>
  <c r="W33" i="3" s="1"/>
  <c r="N32" i="3" a="1"/>
  <c r="N32" i="3" s="1"/>
  <c r="U32" i="3" s="1"/>
  <c r="N31" i="3" a="1"/>
  <c r="N31" i="3" s="1"/>
  <c r="W31" i="3" s="1"/>
  <c r="N30" i="3" a="1"/>
  <c r="N30" i="3" s="1"/>
  <c r="W30" i="3" s="1"/>
  <c r="N29" i="3" a="1"/>
  <c r="N29" i="3" s="1"/>
  <c r="T29" i="3" s="1"/>
  <c r="N28" i="3" a="1"/>
  <c r="N28" i="3" s="1"/>
  <c r="W28" i="3" s="1"/>
  <c r="N27" i="3" a="1"/>
  <c r="N27" i="3" s="1"/>
  <c r="Q27" i="3" s="1"/>
  <c r="N26" i="3" a="1"/>
  <c r="N26" i="3" s="1"/>
  <c r="P26" i="3" s="1" a="1"/>
  <c r="P26" i="3" s="1"/>
  <c r="N25" i="3" a="1"/>
  <c r="N25" i="3" s="1"/>
  <c r="N24" i="3" a="1"/>
  <c r="N24" i="3" s="1"/>
  <c r="S24" i="3" s="1"/>
  <c r="H45" i="3"/>
  <c r="H44" i="3"/>
  <c r="H43" i="3"/>
  <c r="H42" i="3"/>
  <c r="K42" i="3" s="1"/>
  <c r="H41" i="3"/>
  <c r="K41" i="3" s="1"/>
  <c r="H40" i="3"/>
  <c r="H38" i="3"/>
  <c r="H35" i="3"/>
  <c r="H33" i="3"/>
  <c r="H32" i="3"/>
  <c r="H31" i="3"/>
  <c r="H30" i="3"/>
  <c r="H26" i="3"/>
  <c r="H24" i="3"/>
  <c r="K19" i="3"/>
  <c r="K18" i="3"/>
  <c r="K17" i="3"/>
  <c r="J19" i="3"/>
  <c r="J18" i="3"/>
  <c r="J17" i="3"/>
  <c r="I19" i="3"/>
  <c r="I18" i="3"/>
  <c r="I17" i="3"/>
  <c r="I16" i="3"/>
  <c r="H19" i="3"/>
  <c r="H18" i="3"/>
  <c r="H17" i="3"/>
  <c r="H16" i="3"/>
  <c r="G19" i="3"/>
  <c r="G18" i="3"/>
  <c r="G17" i="3"/>
  <c r="G16" i="3"/>
  <c r="F19" i="3"/>
  <c r="F18" i="3"/>
  <c r="F17" i="3"/>
  <c r="Q18" i="3"/>
  <c r="E19" i="3"/>
  <c r="E18" i="3"/>
  <c r="E17" i="3"/>
  <c r="E16" i="3"/>
  <c r="P6" i="3"/>
  <c r="P5" i="3"/>
  <c r="P4" i="3"/>
  <c r="E7" i="3"/>
  <c r="E6" i="3"/>
  <c r="E5" i="3"/>
  <c r="E4" i="3"/>
  <c r="L94" i="8"/>
  <c r="K94" i="8"/>
  <c r="J94" i="8"/>
  <c r="I94" i="8"/>
  <c r="H94" i="8"/>
  <c r="G94" i="8"/>
  <c r="F94" i="8"/>
  <c r="N93" i="8"/>
  <c r="M93" i="8"/>
  <c r="L93" i="8"/>
  <c r="K93" i="8"/>
  <c r="J93" i="8"/>
  <c r="I93" i="8"/>
  <c r="H93" i="8"/>
  <c r="G93" i="8"/>
  <c r="F93" i="8"/>
  <c r="E93" i="8"/>
  <c r="D93" i="8"/>
  <c r="C93" i="8"/>
  <c r="N92" i="8"/>
  <c r="M92" i="8"/>
  <c r="L92" i="8"/>
  <c r="K92" i="8"/>
  <c r="J92" i="8"/>
  <c r="I92" i="8"/>
  <c r="H92" i="8"/>
  <c r="G92" i="8"/>
  <c r="F92" i="8"/>
  <c r="E92" i="8"/>
  <c r="D92" i="8"/>
  <c r="C92" i="8"/>
  <c r="N91" i="8"/>
  <c r="M91" i="8"/>
  <c r="L91" i="8"/>
  <c r="K91" i="8"/>
  <c r="J91" i="8"/>
  <c r="I91" i="8"/>
  <c r="H91" i="8"/>
  <c r="G91" i="8"/>
  <c r="F91" i="8"/>
  <c r="E91" i="8"/>
  <c r="D91" i="8"/>
  <c r="C91" i="8"/>
  <c r="N90" i="8"/>
  <c r="M90" i="8"/>
  <c r="L90" i="8"/>
  <c r="K90" i="8"/>
  <c r="J90" i="8"/>
  <c r="I90" i="8"/>
  <c r="H90" i="8"/>
  <c r="G90" i="8"/>
  <c r="F90" i="8"/>
  <c r="E90" i="8"/>
  <c r="D90" i="8"/>
  <c r="C90" i="8"/>
  <c r="M89" i="8"/>
  <c r="L89" i="8"/>
  <c r="K89" i="8"/>
  <c r="J89" i="8"/>
  <c r="I89" i="8"/>
  <c r="H89" i="8"/>
  <c r="G89" i="8"/>
  <c r="F89" i="8"/>
  <c r="E89" i="8"/>
  <c r="D89" i="8"/>
  <c r="C89" i="8"/>
  <c r="N88" i="8"/>
  <c r="M88" i="8"/>
  <c r="L88" i="8"/>
  <c r="K88" i="8"/>
  <c r="J88" i="8"/>
  <c r="I88" i="8"/>
  <c r="H88" i="8"/>
  <c r="G88" i="8"/>
  <c r="F88" i="8"/>
  <c r="E88" i="8"/>
  <c r="D88" i="8"/>
  <c r="C88" i="8"/>
  <c r="N87" i="8"/>
  <c r="M87" i="8"/>
  <c r="L87" i="8"/>
  <c r="K87" i="8"/>
  <c r="J87" i="8"/>
  <c r="I87" i="8"/>
  <c r="H87" i="8"/>
  <c r="G87" i="8"/>
  <c r="F87" i="8"/>
  <c r="E87" i="8"/>
  <c r="D87" i="8"/>
  <c r="C87" i="8"/>
  <c r="M86" i="8"/>
  <c r="L86" i="8"/>
  <c r="K86" i="8"/>
  <c r="J86" i="8"/>
  <c r="I86" i="8"/>
  <c r="H86" i="8"/>
  <c r="G86" i="8"/>
  <c r="F86" i="8"/>
  <c r="E86" i="8"/>
  <c r="D86" i="8"/>
  <c r="C86" i="8"/>
  <c r="M85" i="8"/>
  <c r="L85" i="8"/>
  <c r="K85" i="8"/>
  <c r="J85" i="8"/>
  <c r="I85" i="8"/>
  <c r="H85" i="8"/>
  <c r="G85" i="8"/>
  <c r="F85" i="8"/>
  <c r="E85" i="8"/>
  <c r="D85" i="8"/>
  <c r="C85" i="8"/>
  <c r="M84" i="8"/>
  <c r="L84" i="8"/>
  <c r="K84" i="8"/>
  <c r="J84" i="8"/>
  <c r="I84" i="8"/>
  <c r="H84" i="8"/>
  <c r="G84" i="8"/>
  <c r="F84" i="8"/>
  <c r="E84" i="8"/>
  <c r="D84" i="8"/>
  <c r="C84" i="8"/>
  <c r="M83" i="8"/>
  <c r="L83" i="8"/>
  <c r="K83" i="8"/>
  <c r="J83" i="8"/>
  <c r="I83" i="8"/>
  <c r="H83" i="8"/>
  <c r="G83" i="8"/>
  <c r="F83" i="8"/>
  <c r="E83" i="8"/>
  <c r="D83" i="8"/>
  <c r="C83" i="8"/>
  <c r="N82" i="8"/>
  <c r="M82" i="8"/>
  <c r="L82" i="8"/>
  <c r="K82" i="8"/>
  <c r="J82" i="8"/>
  <c r="I82" i="8"/>
  <c r="H82" i="8"/>
  <c r="G82" i="8"/>
  <c r="F82" i="8"/>
  <c r="E82" i="8"/>
  <c r="D82" i="8"/>
  <c r="C82" i="8"/>
  <c r="N81" i="8"/>
  <c r="M81" i="8"/>
  <c r="L81" i="8"/>
  <c r="K81" i="8"/>
  <c r="J81" i="8"/>
  <c r="I81" i="8"/>
  <c r="H81" i="8"/>
  <c r="G81" i="8"/>
  <c r="F81" i="8"/>
  <c r="E81" i="8"/>
  <c r="D81" i="8"/>
  <c r="C81" i="8"/>
  <c r="M80" i="8"/>
  <c r="L80" i="8"/>
  <c r="K80" i="8"/>
  <c r="J80" i="8"/>
  <c r="I80" i="8"/>
  <c r="H80" i="8"/>
  <c r="G80" i="8"/>
  <c r="F80" i="8"/>
  <c r="E80" i="8"/>
  <c r="D80" i="8"/>
  <c r="C80" i="8"/>
  <c r="M79" i="8"/>
  <c r="L79" i="8"/>
  <c r="K79" i="8"/>
  <c r="J79" i="8"/>
  <c r="I79" i="8"/>
  <c r="H79" i="8"/>
  <c r="G79" i="8"/>
  <c r="F79" i="8"/>
  <c r="E79" i="8"/>
  <c r="D79" i="8"/>
  <c r="C79" i="8"/>
  <c r="M74" i="8"/>
  <c r="L74" i="8"/>
  <c r="K74" i="8"/>
  <c r="J74" i="8"/>
  <c r="I74" i="8"/>
  <c r="H74" i="8"/>
  <c r="B73" i="8" a="1"/>
  <c r="B73" i="8" s="1"/>
  <c r="B72" i="8" a="1"/>
  <c r="B72" i="8" s="1"/>
  <c r="B71" i="8" a="1"/>
  <c r="B71" i="8" s="1"/>
  <c r="B70" i="8" a="1"/>
  <c r="B70" i="8" s="1"/>
  <c r="N70" i="8" s="1"/>
  <c r="B69" i="8" a="1"/>
  <c r="B69" i="8" s="1"/>
  <c r="M69" i="8" s="1"/>
  <c r="B68" i="8" a="1"/>
  <c r="B68" i="8" s="1"/>
  <c r="B67" i="8" a="1"/>
  <c r="B67" i="8" s="1"/>
  <c r="B66" i="8" a="1"/>
  <c r="B66" i="8" s="1"/>
  <c r="B65" i="8" a="1"/>
  <c r="B65" i="8" s="1"/>
  <c r="B64" i="8" a="1"/>
  <c r="B64" i="8" s="1"/>
  <c r="B63" i="8" a="1"/>
  <c r="B63" i="8" s="1"/>
  <c r="B62" i="8" a="1"/>
  <c r="B62" i="8" s="1"/>
  <c r="B61" i="8" a="1"/>
  <c r="B61" i="8" s="1"/>
  <c r="B60" i="8" a="1"/>
  <c r="B60" i="8" s="1"/>
  <c r="B59" i="8" a="1"/>
  <c r="B59" i="8" s="1"/>
  <c r="H54" i="8"/>
  <c r="H53" i="8"/>
  <c r="K52" i="8"/>
  <c r="H52" i="8"/>
  <c r="K51" i="8"/>
  <c r="H51" i="8"/>
  <c r="K50" i="8"/>
  <c r="H50" i="8"/>
  <c r="K49" i="8"/>
  <c r="H49" i="8"/>
  <c r="K48" i="8"/>
  <c r="H48" i="8"/>
  <c r="H46" i="8"/>
  <c r="H43" i="8"/>
  <c r="H41" i="8"/>
  <c r="H40" i="8"/>
  <c r="H39" i="8"/>
  <c r="H38" i="8"/>
  <c r="H34" i="8"/>
  <c r="H32" i="8"/>
  <c r="I26" i="8"/>
  <c r="K19" i="8"/>
  <c r="J19" i="8"/>
  <c r="I19" i="8"/>
  <c r="H19" i="8"/>
  <c r="G19" i="8"/>
  <c r="F19" i="8"/>
  <c r="E19" i="8"/>
  <c r="K18" i="8"/>
  <c r="J18" i="8"/>
  <c r="I18" i="8"/>
  <c r="H18" i="8"/>
  <c r="G18" i="8"/>
  <c r="F18" i="8"/>
  <c r="E18" i="8"/>
  <c r="K17" i="8"/>
  <c r="J17" i="8"/>
  <c r="I17" i="8"/>
  <c r="H17" i="8"/>
  <c r="G17" i="8"/>
  <c r="F17" i="8"/>
  <c r="E17" i="8"/>
  <c r="I16" i="8"/>
  <c r="H16" i="8"/>
  <c r="G16" i="8"/>
  <c r="F16" i="8"/>
  <c r="E16" i="8"/>
  <c r="H7" i="8"/>
  <c r="J6" i="8"/>
  <c r="D6" i="8"/>
  <c r="J5" i="8"/>
  <c r="D5" i="8"/>
  <c r="J4" i="8"/>
  <c r="D4" i="8"/>
  <c r="E24" i="5"/>
  <c r="E23" i="5"/>
  <c r="E22" i="5"/>
  <c r="E21" i="5"/>
  <c r="E20" i="5"/>
  <c r="E19" i="5"/>
  <c r="E18" i="5"/>
  <c r="E17" i="5"/>
  <c r="E16" i="5"/>
  <c r="E15" i="5"/>
  <c r="E14" i="5"/>
  <c r="B32" i="2"/>
  <c r="K29" i="2"/>
  <c r="J29" i="2"/>
  <c r="I29" i="2"/>
  <c r="H29" i="2"/>
  <c r="G29" i="2"/>
  <c r="F29" i="2"/>
  <c r="E29" i="2"/>
  <c r="N28" i="2"/>
  <c r="M28" i="2"/>
  <c r="N27" i="2"/>
  <c r="M27" i="2"/>
  <c r="N26" i="2"/>
  <c r="M26" i="2"/>
  <c r="N25" i="2"/>
  <c r="M25" i="2"/>
  <c r="N24" i="2"/>
  <c r="M24" i="2"/>
  <c r="N89" i="8" s="1"/>
  <c r="N23" i="2"/>
  <c r="M23" i="2"/>
  <c r="M22" i="2"/>
  <c r="N21" i="2"/>
  <c r="M21" i="2"/>
  <c r="H28" i="3" s="1"/>
  <c r="N20" i="2"/>
  <c r="M20" i="2"/>
  <c r="W57" i="3" s="1"/>
  <c r="N19" i="2"/>
  <c r="M19" i="2"/>
  <c r="H37" i="3" s="1"/>
  <c r="N18" i="2"/>
  <c r="H27" i="3"/>
  <c r="N17" i="2"/>
  <c r="M17" i="2"/>
  <c r="W54" i="3" s="1"/>
  <c r="N16" i="2"/>
  <c r="M16" i="2"/>
  <c r="W53" i="3" s="1"/>
  <c r="N15" i="2"/>
  <c r="H33" i="8"/>
  <c r="M14" i="2"/>
  <c r="W51" i="3" s="1"/>
  <c r="K13" i="2"/>
  <c r="J13" i="2"/>
  <c r="I13" i="2"/>
  <c r="H13" i="2"/>
  <c r="G13" i="2"/>
  <c r="F13" i="2"/>
  <c r="E13" i="2"/>
  <c r="D10" i="2"/>
  <c r="D9" i="2"/>
  <c r="K45" i="3" l="1"/>
  <c r="H46" i="3"/>
  <c r="K46" i="3" s="1"/>
  <c r="H47" i="8"/>
  <c r="H39" i="3"/>
  <c r="K39" i="3" s="1"/>
  <c r="H36" i="3"/>
  <c r="K36" i="3" s="1"/>
  <c r="I10" i="2"/>
  <c r="D13" i="5" s="1"/>
  <c r="E13" i="5" s="1"/>
  <c r="H44" i="8"/>
  <c r="W61" i="3"/>
  <c r="K41" i="8"/>
  <c r="N22" i="2"/>
  <c r="W59" i="3"/>
  <c r="K28" i="3"/>
  <c r="K36" i="8"/>
  <c r="H37" i="8"/>
  <c r="H29" i="3"/>
  <c r="K29" i="3" s="1"/>
  <c r="W25" i="3"/>
  <c r="K27" i="3"/>
  <c r="N85" i="8"/>
  <c r="K32" i="3"/>
  <c r="K34" i="8"/>
  <c r="K31" i="3"/>
  <c r="N80" i="8"/>
  <c r="N84" i="8"/>
  <c r="H35" i="8"/>
  <c r="K53" i="8"/>
  <c r="W56" i="3"/>
  <c r="K43" i="8"/>
  <c r="H45" i="8"/>
  <c r="W39" i="3"/>
  <c r="W55" i="3"/>
  <c r="K33" i="8"/>
  <c r="Q16" i="3"/>
  <c r="K35" i="8"/>
  <c r="H36" i="8"/>
  <c r="K45" i="8"/>
  <c r="K54" i="8"/>
  <c r="N83" i="8"/>
  <c r="K37" i="8"/>
  <c r="K40" i="3"/>
  <c r="K24" i="3"/>
  <c r="K38" i="8"/>
  <c r="H25" i="3"/>
  <c r="K25" i="3" s="1"/>
  <c r="N74" i="8"/>
  <c r="K26" i="3"/>
  <c r="K43" i="3"/>
  <c r="W58" i="3"/>
  <c r="N86" i="8"/>
  <c r="I24" i="8"/>
  <c r="K39" i="8"/>
  <c r="K44" i="3"/>
  <c r="W52" i="3"/>
  <c r="S10" i="3"/>
  <c r="K32" i="8"/>
  <c r="K40" i="8"/>
  <c r="L10" i="8"/>
  <c r="K30" i="3"/>
  <c r="L16" i="8"/>
  <c r="P30" i="3" a="1"/>
  <c r="P30" i="3" s="1"/>
  <c r="V30" i="3"/>
  <c r="U29" i="3"/>
  <c r="V32" i="3"/>
  <c r="R33" i="3"/>
  <c r="V25" i="3"/>
  <c r="W27" i="3"/>
  <c r="W26" i="3"/>
  <c r="S26" i="3"/>
  <c r="P31" i="3" a="1"/>
  <c r="P31" i="3" s="1"/>
  <c r="S34" i="3"/>
  <c r="P27" i="3" a="1"/>
  <c r="P27" i="3" s="1"/>
  <c r="Q31" i="3"/>
  <c r="T24" i="3"/>
  <c r="S27" i="3"/>
  <c r="S31" i="3"/>
  <c r="P36" i="3" a="1"/>
  <c r="P36" i="3" s="1"/>
  <c r="R27" i="3"/>
  <c r="T27" i="3"/>
  <c r="T31" i="3"/>
  <c r="Q36" i="3"/>
  <c r="R31" i="3"/>
  <c r="P25" i="3" a="1"/>
  <c r="P25" i="3" s="1"/>
  <c r="U27" i="3"/>
  <c r="U31" i="3"/>
  <c r="R36" i="3"/>
  <c r="Q26" i="3"/>
  <c r="U25" i="3"/>
  <c r="V27" i="3"/>
  <c r="V31" i="3"/>
  <c r="S36" i="3"/>
  <c r="Q32" i="3"/>
  <c r="R37" i="3"/>
  <c r="R32" i="3"/>
  <c r="S37" i="3"/>
  <c r="R26" i="3"/>
  <c r="P29" i="3" a="1"/>
  <c r="P29" i="3" s="1"/>
  <c r="S32" i="3"/>
  <c r="T37" i="3"/>
  <c r="W32" i="3"/>
  <c r="T26" i="3"/>
  <c r="U26" i="3"/>
  <c r="L24" i="8"/>
  <c r="B10" i="8"/>
  <c r="I25" i="8"/>
  <c r="K46" i="8"/>
  <c r="Q17" i="3"/>
  <c r="K47" i="8"/>
  <c r="N79" i="8"/>
  <c r="N94" i="8"/>
  <c r="Q19" i="3"/>
  <c r="V18" i="3" s="1"/>
  <c r="K33" i="3"/>
  <c r="K35" i="3"/>
  <c r="L26" i="8"/>
  <c r="N14" i="2"/>
  <c r="N29" i="2" s="1"/>
  <c r="M9" i="2" s="1"/>
  <c r="I27" i="8"/>
  <c r="K37" i="3"/>
  <c r="K38" i="3"/>
  <c r="H42" i="8"/>
  <c r="K42" i="8"/>
  <c r="W66" i="3"/>
  <c r="B10" i="3"/>
  <c r="H34" i="3"/>
  <c r="K34" i="3" s="1"/>
  <c r="L19" i="8"/>
  <c r="K44" i="8"/>
  <c r="L25" i="8"/>
  <c r="J62" i="8"/>
  <c r="M62" i="8"/>
  <c r="L62" i="8"/>
  <c r="K62" i="8"/>
  <c r="N66" i="8"/>
  <c r="J66" i="8"/>
  <c r="E66" i="8" a="1"/>
  <c r="E66" i="8" s="1"/>
  <c r="N61" i="8"/>
  <c r="M61" i="8"/>
  <c r="L61" i="8"/>
  <c r="J61" i="8"/>
  <c r="H61" i="8"/>
  <c r="E61" i="8" a="1"/>
  <c r="E61" i="8" s="1"/>
  <c r="K61" i="8"/>
  <c r="H68" i="8"/>
  <c r="K68" i="8"/>
  <c r="J68" i="8"/>
  <c r="I68" i="8"/>
  <c r="K63" i="8"/>
  <c r="J63" i="8"/>
  <c r="I65" i="8"/>
  <c r="L65" i="8"/>
  <c r="K65" i="8"/>
  <c r="J65" i="8"/>
  <c r="N64" i="8"/>
  <c r="J64" i="8"/>
  <c r="K59" i="8"/>
  <c r="E59" i="8" a="1"/>
  <c r="E59" i="8" s="1"/>
  <c r="L59" i="8"/>
  <c r="N59" i="8"/>
  <c r="M59" i="8"/>
  <c r="L60" i="8"/>
  <c r="K60" i="8"/>
  <c r="H60" i="8"/>
  <c r="E60" i="8" a="1"/>
  <c r="E60" i="8" s="1"/>
  <c r="U24" i="3"/>
  <c r="V29" i="3"/>
  <c r="T34" i="3"/>
  <c r="V24" i="3"/>
  <c r="P28" i="3" a="1"/>
  <c r="P28" i="3" s="1"/>
  <c r="W29" i="3"/>
  <c r="U34" i="3"/>
  <c r="P38" i="3" a="1"/>
  <c r="P38" i="3" s="1"/>
  <c r="W24" i="3"/>
  <c r="Q28" i="3"/>
  <c r="P33" i="3" a="1"/>
  <c r="P33" i="3" s="1"/>
  <c r="V34" i="3"/>
  <c r="T36" i="3"/>
  <c r="Q38" i="3"/>
  <c r="V26" i="3"/>
  <c r="R28" i="3"/>
  <c r="Q33" i="3"/>
  <c r="W34" i="3"/>
  <c r="U36" i="3"/>
  <c r="R38" i="3"/>
  <c r="V36" i="3"/>
  <c r="S38" i="3"/>
  <c r="S28" i="3"/>
  <c r="Q25" i="3"/>
  <c r="T28" i="3"/>
  <c r="Q30" i="3"/>
  <c r="S33" i="3"/>
  <c r="P35" i="3" a="1"/>
  <c r="P35" i="3" s="1"/>
  <c r="T38" i="3"/>
  <c r="R25" i="3"/>
  <c r="U28" i="3"/>
  <c r="R30" i="3"/>
  <c r="T33" i="3"/>
  <c r="Q35" i="3"/>
  <c r="U38" i="3"/>
  <c r="S25" i="3"/>
  <c r="V28" i="3"/>
  <c r="S30" i="3"/>
  <c r="U33" i="3"/>
  <c r="R35" i="3"/>
  <c r="P37" i="3" a="1"/>
  <c r="P37" i="3" s="1"/>
  <c r="V38" i="3"/>
  <c r="T25" i="3"/>
  <c r="T30" i="3"/>
  <c r="P32" i="3" a="1"/>
  <c r="P32" i="3" s="1"/>
  <c r="V33" i="3"/>
  <c r="S35" i="3"/>
  <c r="Q37" i="3"/>
  <c r="U30" i="3"/>
  <c r="T35" i="3"/>
  <c r="U35" i="3"/>
  <c r="P24" i="3" a="1"/>
  <c r="P24" i="3" s="1"/>
  <c r="Q29" i="3"/>
  <c r="V35" i="3"/>
  <c r="L17" i="8"/>
  <c r="L18" i="8"/>
  <c r="Q24" i="3"/>
  <c r="R29" i="3"/>
  <c r="T32" i="3"/>
  <c r="P34" i="3" a="1"/>
  <c r="P34" i="3" s="1"/>
  <c r="U37" i="3"/>
  <c r="R24" i="3"/>
  <c r="S29" i="3"/>
  <c r="Q34" i="3"/>
  <c r="V37" i="3"/>
  <c r="L19" i="3"/>
  <c r="L18" i="3"/>
  <c r="L16" i="3"/>
  <c r="L17" i="3"/>
  <c r="N67" i="8"/>
  <c r="M67" i="8"/>
  <c r="L67" i="8"/>
  <c r="K67" i="8"/>
  <c r="J67" i="8"/>
  <c r="I67" i="8"/>
  <c r="H67" i="8"/>
  <c r="E67" i="8" a="1"/>
  <c r="E67" i="8" s="1"/>
  <c r="E71" i="8" a="1"/>
  <c r="E71" i="8" s="1"/>
  <c r="N71" i="8"/>
  <c r="M71" i="8"/>
  <c r="L71" i="8"/>
  <c r="K71" i="8"/>
  <c r="J71" i="8"/>
  <c r="I71" i="8"/>
  <c r="H71" i="8"/>
  <c r="L72" i="8"/>
  <c r="K72" i="8"/>
  <c r="J72" i="8"/>
  <c r="I72" i="8"/>
  <c r="H72" i="8"/>
  <c r="E72" i="8" a="1"/>
  <c r="E72" i="8" s="1"/>
  <c r="N72" i="8"/>
  <c r="M72" i="8"/>
  <c r="N73" i="8"/>
  <c r="M73" i="8"/>
  <c r="L73" i="8"/>
  <c r="K73" i="8"/>
  <c r="J73" i="8"/>
  <c r="I73" i="8"/>
  <c r="H73" i="8"/>
  <c r="E73" i="8" a="1"/>
  <c r="E73" i="8" s="1"/>
  <c r="N69" i="8"/>
  <c r="E64" i="8" a="1"/>
  <c r="E64" i="8" s="1"/>
  <c r="I61" i="8"/>
  <c r="N62" i="8"/>
  <c r="H64" i="8"/>
  <c r="M65" i="8"/>
  <c r="L68" i="8"/>
  <c r="E70" i="8" a="1"/>
  <c r="E70" i="8" s="1"/>
  <c r="I64" i="8"/>
  <c r="N65" i="8"/>
  <c r="M68" i="8"/>
  <c r="N68" i="8"/>
  <c r="H70" i="8"/>
  <c r="E63" i="8" a="1"/>
  <c r="E63" i="8" s="1"/>
  <c r="K64" i="8"/>
  <c r="I70" i="8"/>
  <c r="J70" i="8"/>
  <c r="L64" i="8"/>
  <c r="I60" i="8"/>
  <c r="H63" i="8"/>
  <c r="M64" i="8"/>
  <c r="E69" i="8" a="1"/>
  <c r="E69" i="8" s="1"/>
  <c r="K70" i="8"/>
  <c r="J60" i="8"/>
  <c r="I63" i="8"/>
  <c r="H66" i="8"/>
  <c r="L70" i="8"/>
  <c r="I66" i="8"/>
  <c r="H69" i="8"/>
  <c r="M70" i="8"/>
  <c r="I69" i="8"/>
  <c r="H59" i="8"/>
  <c r="M60" i="8"/>
  <c r="L63" i="8"/>
  <c r="E65" i="8" a="1"/>
  <c r="E65" i="8" s="1"/>
  <c r="K66" i="8"/>
  <c r="J69" i="8"/>
  <c r="I59" i="8"/>
  <c r="N60" i="8"/>
  <c r="H62" i="8"/>
  <c r="M63" i="8"/>
  <c r="L66" i="8"/>
  <c r="E68" i="8" a="1"/>
  <c r="E68" i="8" s="1"/>
  <c r="K69" i="8"/>
  <c r="J59" i="8"/>
  <c r="I62" i="8"/>
  <c r="N63" i="8"/>
  <c r="H65" i="8"/>
  <c r="M66" i="8"/>
  <c r="L69" i="8"/>
  <c r="E62" i="8" a="1"/>
  <c r="E62" i="8" s="1"/>
  <c r="M29" i="2"/>
  <c r="M10" i="2" l="1"/>
  <c r="J10" i="8" s="1"/>
  <c r="V16" i="3"/>
  <c r="V17" i="3"/>
  <c r="E5" i="4"/>
  <c r="O10" i="3" l="1"/>
  <c r="F10" i="3"/>
  <c r="E10" i="8"/>
  <c r="M17" i="8"/>
  <c r="D5" i="4"/>
  <c r="F5" i="4" s="1"/>
  <c r="J10" i="3" l="1"/>
  <c r="H10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<sst xmlns="http://schemas.openxmlformats.org/spreadsheetml/2006/main" count="389" uniqueCount="224">
  <si>
    <t>⏱  WEEKLY TIMESHEET SYSTEM  –  EMPLOYEE GUIDE</t>
  </si>
  <si>
    <t xml:space="preserve">  🏢  ABOUT THIS WORKBOOK</t>
  </si>
  <si>
    <t>Purpose</t>
  </si>
  <si>
    <t>Record weekly working hours by project, category and sub-category. Timesheets must be submitted each week and approved by an Admin.</t>
  </si>
  <si>
    <t>Sheets included</t>
  </si>
  <si>
    <t>Who fills this?</t>
  </si>
  <si>
    <t>Every employee fills the '⏱ Weekly Timesheet' sheet. Admins use the '📁 Approval Log' to approve or decline entries.</t>
  </si>
  <si>
    <t xml:space="preserve">  📝  HOW TO FILL YOUR TIMESHEET – STEP BY STEP</t>
  </si>
  <si>
    <t>Step 1 – Employee Info</t>
  </si>
  <si>
    <t>Enter your name, employee ID and the week-start date (Monday) in the yellow cells at the top of the '⏱ Weekly Timesheet' sheet.</t>
  </si>
  <si>
    <t>Step 2 – Add a row per activity</t>
  </si>
  <si>
    <t>Each row = one activity.  For each row fill: Date · Main Category · Sub-Category · Project No. (if Project category) · Hours · Description.</t>
  </si>
  <si>
    <t>Step 3 – Project Number format</t>
  </si>
  <si>
    <t>Project numbers follow [YYYY][3-digit sequence]: e.g. 2026101, 2026102 … 2026999.  Leave blank for Admin or Office &amp; Sales rows.</t>
  </si>
  <si>
    <t>Step 4 – TIL / Overtime usage</t>
  </si>
  <si>
    <t>To use accumulated TIL hours, select 'Admin' → 'Overtime Taken' and enter hours as a POSITIVE number (e.g. 8 for one day off) – system handles the deduction.</t>
  </si>
  <si>
    <t>Step 5 – Submit</t>
  </si>
  <si>
    <t>When your week is complete, use the Status dropdown in cell F5 and change it to 'Submitted'. A status banner at the bottom of the sheet will confirm your submission. Once submitted, notify your Admin to review and approve.</t>
  </si>
  <si>
    <t>Step 6 – Corrections</t>
  </si>
  <si>
    <t>If Admin declines your timesheet, the Status resets to 'Declined'. You may then edit and re-submit. Approved sheets cannot be edited.</t>
  </si>
  <si>
    <t xml:space="preserve">  📂  CATEGORIES QUICK REFERENCE</t>
  </si>
  <si>
    <t>PROJECT</t>
  </si>
  <si>
    <t>Travel · Site Travel · Site Work · Report · Extra Integration · Simulation · Office Preparation · Project Management · Engineering Work</t>
  </si>
  <si>
    <t>ADMIN</t>
  </si>
  <si>
    <t>Overtime Taken · TIL Payout · Sick Time · Annual Vacation · Statutory Holiday · Administrative · Toolbox Meeting</t>
  </si>
  <si>
    <t>OFFICE &amp; SALES</t>
  </si>
  <si>
    <t>Customer Contact · Project Development · Proposals &amp; Quotes · Inventory · SRU Study · Conference · General</t>
  </si>
  <si>
    <t xml:space="preserve">  ⏰  OVERTIME &amp; TIL RULES</t>
  </si>
  <si>
    <t>Overtime accrual</t>
  </si>
  <si>
    <t>Any hours logged ABOVE 8 hrs on a single day are automatically counted as overtime and added to your TIL bank.</t>
  </si>
  <si>
    <t>TIL Payout / Vacation</t>
  </si>
  <si>
    <t>Select Admin → 'Overtime Taken' and log hours (e.g. 8). This deducts from your TIL bank. The remaining balance shown in TIL Summary.</t>
  </si>
  <si>
    <t>TIL Payout (cash)</t>
  </si>
  <si>
    <t>If requesting a cash payout, select Admin → 'TIL Payout' wit hours. Payroll will process the amount.</t>
  </si>
  <si>
    <t>Balance carried forward</t>
  </si>
  <si>
    <t>Your overtime (hours &gt; 8/day) is automatically calculated in the TIL Summary tab. The Opening Balance carries forward automatically each week — you do NOT need to re-enter it manually. Admin freezes the values after approving each week's timesheet.</t>
  </si>
  <si>
    <t xml:space="preserve">  ✅  APPROVAL PROCESS</t>
  </si>
  <si>
    <t>Admin – Approve</t>
  </si>
  <si>
    <t>Open Approval Log, enter the employee name + week, set Status to 'Approved'. The timesheet is then locked permanently.</t>
  </si>
  <si>
    <t>Admin – Decline</t>
  </si>
  <si>
    <t>Set Status to 'Declined' in the Approval Log. Employee will see the status and can edit and re-submit.</t>
  </si>
  <si>
    <t>Audit trail</t>
  </si>
  <si>
    <t>Every status change is recorded in the Approval Log with date/time and approver name to prevent retroactive edits.</t>
  </si>
  <si>
    <t xml:space="preserve">  ⚠️  IMPORTANT RULES</t>
  </si>
  <si>
    <t>No backdating</t>
  </si>
  <si>
    <t>Dates entered must be within the declared week range. The sheet highlights dates outside the week in red.</t>
  </si>
  <si>
    <t>Description required</t>
  </si>
  <si>
    <t>A description is mandatory for every row. Missing descriptions are highlighted in orange.</t>
  </si>
  <si>
    <t>One file per employee</t>
  </si>
  <si>
    <t>Each employee maintains their own copy of this file. Completed weeks are submitted to Admin for approval.</t>
  </si>
  <si>
    <t>⏱  WEEKLY EMPLOYEE TIMESHEET</t>
  </si>
  <si>
    <t>Employee Name :</t>
  </si>
  <si>
    <t>Utsav Chovatia</t>
  </si>
  <si>
    <t>Week Starting :</t>
  </si>
  <si>
    <t>Employee ID :</t>
  </si>
  <si>
    <t>Status :</t>
  </si>
  <si>
    <t>Draft</t>
  </si>
  <si>
    <t>Department :</t>
  </si>
  <si>
    <t>Engineering</t>
  </si>
  <si>
    <t>Approved By :</t>
  </si>
  <si>
    <t>Notes :</t>
  </si>
  <si>
    <t>Opening TIL (hrs)</t>
  </si>
  <si>
    <t>Overtime Earned This Week</t>
  </si>
  <si>
    <t>TIL Used / Remaining</t>
  </si>
  <si>
    <t>Opening Vacation (hrs)</t>
  </si>
  <si>
    <t>Vacation Used This Week</t>
  </si>
  <si>
    <t>Vacation Hours Remaining</t>
  </si>
  <si>
    <t>Main
Category</t>
  </si>
  <si>
    <t>Sub-Category</t>
  </si>
  <si>
    <t>Project
No.</t>
  </si>
  <si>
    <t>Mon</t>
  </si>
  <si>
    <t>Tue</t>
  </si>
  <si>
    <t>Wed</t>
  </si>
  <si>
    <t>Thu</t>
  </si>
  <si>
    <t>Fri</t>
  </si>
  <si>
    <t>Sat</t>
  </si>
  <si>
    <t>Sun</t>
  </si>
  <si>
    <t>Task Description</t>
  </si>
  <si>
    <t>Total
hrs</t>
  </si>
  <si>
    <t>Adj Overtime
hrs</t>
  </si>
  <si>
    <t>Week of:</t>
  </si>
  <si>
    <t>Total Hours Worked</t>
  </si>
  <si>
    <t>Overtime</t>
  </si>
  <si>
    <t xml:space="preserve">  ⚠  Main Category determines Sub-Category options.  Project No. required for 'Project' rows.  Overtime Taken hours auto-move to Adj Overtime column.  Vacation Hours auto-deduct from Vacation balance.</t>
  </si>
  <si>
    <t>📄   WEEKLY TIMESHEET REPORT  ·  Sulfur Recovery Engineering Inc.</t>
  </si>
  <si>
    <t xml:space="preserve">  Employee Name</t>
  </si>
  <si>
    <t xml:space="preserve">  Week Starting</t>
  </si>
  <si>
    <t xml:space="preserve">  Employee ID</t>
  </si>
  <si>
    <t xml:space="preserve">  Status</t>
  </si>
  <si>
    <t xml:space="preserve">  Department</t>
  </si>
  <si>
    <t xml:space="preserve">  Approved By</t>
  </si>
  <si>
    <t xml:space="preserve">  Report Generated</t>
  </si>
  <si>
    <t xml:space="preserve">   WEEK AT A GLANCE</t>
  </si>
  <si>
    <t>Total Hours
Logged</t>
  </si>
  <si>
    <t>Overtime
Earned</t>
  </si>
  <si>
    <t>TIL Bank
Remaining</t>
  </si>
  <si>
    <t>Vacation Hrs
Remaining</t>
  </si>
  <si>
    <t>Project Hours
This Week</t>
  </si>
  <si>
    <t xml:space="preserve">   DAILY HOURS BREAKDOWN</t>
  </si>
  <si>
    <t>Category</t>
  </si>
  <si>
    <t>Week Total</t>
  </si>
  <si>
    <t>OT hrs</t>
  </si>
  <si>
    <t xml:space="preserve">  Regular Hours</t>
  </si>
  <si>
    <t xml:space="preserve">  Overtime</t>
  </si>
  <si>
    <t xml:space="preserve">  Total Hours</t>
  </si>
  <si>
    <t xml:space="preserve">   HOURS BY CATEGORY</t>
  </si>
  <si>
    <t>Total Hours</t>
  </si>
  <si>
    <t>% of Week Total</t>
  </si>
  <si>
    <t xml:space="preserve">  Project</t>
  </si>
  <si>
    <t xml:space="preserve">  Admin</t>
  </si>
  <si>
    <t xml:space="preserve">  Office &amp; Sales</t>
  </si>
  <si>
    <t xml:space="preserve">  TOTAL</t>
  </si>
  <si>
    <t>100%</t>
  </si>
  <si>
    <t xml:space="preserve">   HOURS BY SUB-CATEGORY</t>
  </si>
  <si>
    <t>Main Category</t>
  </si>
  <si>
    <t>Hours</t>
  </si>
  <si>
    <t>% of Category</t>
  </si>
  <si>
    <t xml:space="preserve">  Travel</t>
  </si>
  <si>
    <t xml:space="preserve">  Site Travel</t>
  </si>
  <si>
    <t xml:space="preserve">  Site Work</t>
  </si>
  <si>
    <t xml:space="preserve">  Report</t>
  </si>
  <si>
    <t xml:space="preserve">  Extra Integration</t>
  </si>
  <si>
    <t xml:space="preserve">  Simulation</t>
  </si>
  <si>
    <t xml:space="preserve">  Office Preparation</t>
  </si>
  <si>
    <t xml:space="preserve">  Project Management</t>
  </si>
  <si>
    <t xml:space="preserve">  Engineering Work</t>
  </si>
  <si>
    <t xml:space="preserve">  Overtime Taken</t>
  </si>
  <si>
    <t xml:space="preserve">  TIL Payout</t>
  </si>
  <si>
    <t xml:space="preserve">  Sick Time</t>
  </si>
  <si>
    <t xml:space="preserve">  Vacation Hours</t>
  </si>
  <si>
    <t xml:space="preserve">  Statutory Holiday</t>
  </si>
  <si>
    <t xml:space="preserve">  Administrative</t>
  </si>
  <si>
    <t xml:space="preserve">  Toolbox Meeting</t>
  </si>
  <si>
    <t xml:space="preserve">  Customer Contact</t>
  </si>
  <si>
    <t xml:space="preserve">  Project Development</t>
  </si>
  <si>
    <t xml:space="preserve">  Proposals &amp; Quotes</t>
  </si>
  <si>
    <t xml:space="preserve">  Inventory</t>
  </si>
  <si>
    <t xml:space="preserve">  SRU Study</t>
  </si>
  <si>
    <t xml:space="preserve">  Conference</t>
  </si>
  <si>
    <t xml:space="preserve">  General</t>
  </si>
  <si>
    <t xml:space="preserve">   HOURS BY PROJECT NUMBER</t>
  </si>
  <si>
    <t>Project No.</t>
  </si>
  <si>
    <t>Total hrs</t>
  </si>
  <si>
    <t xml:space="preserve">  TOTAL PROJECT HOURS</t>
  </si>
  <si>
    <t xml:space="preserve">   TIMESHEET ENTRY LOG</t>
  </si>
  <si>
    <t>#</t>
  </si>
  <si>
    <t xml:space="preserve">  WEEK TOTALS</t>
  </si>
  <si>
    <t xml:space="preserve">  ⓘ  All data pulls automatically from the Weekly Timesheet. Read-only — edit source data in the Weekly Timesheet tab only. Project breakdown shows each unique project number exactly once.</t>
  </si>
  <si>
    <t>📊  TIL (Time in Lieu) TRACKING SUMMARY</t>
  </si>
  <si>
    <t>Week Starting</t>
  </si>
  <si>
    <t>Opening Balance (hrs)</t>
  </si>
  <si>
    <t>Overtime Earned</t>
  </si>
  <si>
    <t>TIL Used (Taken)</t>
  </si>
  <si>
    <t>Closing Balance</t>
  </si>
  <si>
    <t>Approver</t>
  </si>
  <si>
    <t>AH</t>
  </si>
  <si>
    <t>💡 Instructions:  Enter week start date in column B.   Negative values in column E represent TIL taken.  Row 5 opening balance = your historical TIL carry-forward (enter manually).</t>
  </si>
  <si>
    <t>🏖  VACATION HOURS TRACKING SUMMARY</t>
  </si>
  <si>
    <t xml:space="preserve">  ANNUAL VACATION ALLOCATION BY POSITION</t>
  </si>
  <si>
    <t>Position</t>
  </si>
  <si>
    <t>Annual Vacation (hrs)</t>
  </si>
  <si>
    <t>Equivalent Days (8 hrs/day)</t>
  </si>
  <si>
    <t>Notes</t>
  </si>
  <si>
    <t>Process Engineer EIT</t>
  </si>
  <si>
    <t>Admin</t>
  </si>
  <si>
    <t>Senior Engineer</t>
  </si>
  <si>
    <t xml:space="preserve">  WEEKLY VACATION TRACKING</t>
  </si>
  <si>
    <t>Opening Balance
(hrs)</t>
  </si>
  <si>
    <t>Vacation Used
This Week</t>
  </si>
  <si>
    <t>Closing Balance
(hrs)</t>
  </si>
  <si>
    <t xml:space="preserve">  💡  Row 14 Opening Balance = employee's current vacation bank. Update each week: new Opening = prior week Closing Balance. Vacation Used pulls automatically from the Weekly Timesheet.</t>
  </si>
  <si>
    <t>📁  TIMESHEET APPROVAL LOG  –  ADMIN USE ONLY</t>
  </si>
  <si>
    <t>Employee Name</t>
  </si>
  <si>
    <t>Employee ID</t>
  </si>
  <si>
    <t>Submitted Date</t>
  </si>
  <si>
    <t>Status</t>
  </si>
  <si>
    <t>Action By (Admin)</t>
  </si>
  <si>
    <t>Action Date/Time</t>
  </si>
  <si>
    <t>Comments / Reason for Decline</t>
  </si>
  <si>
    <t>Approved</t>
  </si>
  <si>
    <t>🔐 ADMIN INSTRUCTIONS:  1) When employee submits timesheet, add a row here.  2) Set Status to 'Approved' or 'Declined'.  3) Enter your name in 'Action By' and today's date in 'Action Date/Time'.  4) For Declined entries, provide a clear reason in Comments.  5) Approved timesheets must not be edited — notify employee to resubmit if error found.</t>
  </si>
  <si>
    <t>Project Sub-Cat</t>
  </si>
  <si>
    <t>Admin Sub-Cat</t>
  </si>
  <si>
    <t>Office Sub-Cat</t>
  </si>
  <si>
    <t>Status Options</t>
  </si>
  <si>
    <t>All Sub-Categories</t>
  </si>
  <si>
    <t>Project</t>
  </si>
  <si>
    <t>Travel</t>
  </si>
  <si>
    <t>Overtime Taken</t>
  </si>
  <si>
    <t>Customer Contact</t>
  </si>
  <si>
    <t>Site Travel</t>
  </si>
  <si>
    <t>TIL Payout</t>
  </si>
  <si>
    <t>Project Development</t>
  </si>
  <si>
    <t>Submitted</t>
  </si>
  <si>
    <t>Office &amp; Sales</t>
  </si>
  <si>
    <t>Site Work</t>
  </si>
  <si>
    <t>Sick Time</t>
  </si>
  <si>
    <t>Proposals &amp; Quotes</t>
  </si>
  <si>
    <t>Report</t>
  </si>
  <si>
    <t>Vacation Hours</t>
  </si>
  <si>
    <t>Inventory</t>
  </si>
  <si>
    <t>Declined</t>
  </si>
  <si>
    <t>Extra Integration</t>
  </si>
  <si>
    <t>Statutory Holiday</t>
  </si>
  <si>
    <t>SRU Study</t>
  </si>
  <si>
    <t>Simulation</t>
  </si>
  <si>
    <t>Administrative</t>
  </si>
  <si>
    <t>Conference</t>
  </si>
  <si>
    <t>Office Preparation</t>
  </si>
  <si>
    <t>Toolbox Meeting</t>
  </si>
  <si>
    <t>General</t>
  </si>
  <si>
    <t>Project Management</t>
  </si>
  <si>
    <t>Engineering Work</t>
  </si>
  <si>
    <t>Recived Payment</t>
  </si>
  <si>
    <t>Travel to YYC</t>
  </si>
  <si>
    <t>Pit Stop</t>
  </si>
  <si>
    <t>Timesheet; Email Reply; Timesheet and Expense report template for Team</t>
  </si>
  <si>
    <t>Summary Letter</t>
  </si>
  <si>
    <t>Good Friday</t>
  </si>
  <si>
    <t>TIL Bank Remaining</t>
  </si>
  <si>
    <t>Vacation Hrs Remaining</t>
  </si>
  <si>
    <t>Project Hours This Week</t>
  </si>
  <si>
    <t>Total Hours Logged</t>
  </si>
  <si>
    <t>Sales &amp;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</si>
</sst>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yyyy\-mm\-dd"/>
    <numFmt numFmtId="165" formatCode="000"/>
    <numFmt numFmtId="166" formatCode="0.0"/>
    <numFmt numFmtId="167" formatCode="d\-mmm"/>
    <numFmt numFmtId="168" formatCode="0.0##"/>
    <numFmt numFmtId="169" formatCode="0.0##;\-0.0##;\-"/>
    <numFmt numFmtId="170" formatCode="0.0##;0.0##;&quot;-&quot;"/>
    <numFmt numFmtId="171" formatCode="0%;0%;&quot;-&quot;"/>
    <numFmt numFmtId="172" formatCode="0.000"/>
  </numFmts>
  <fonts count="83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Calibri"/>
      <family val="2"/>
      <charset val="1"/>
    </font>
    <font>
      <b/>
      <sz val="18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1F3864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8"/>
      <color rgb="FFFFFFFF"/>
      <name val="Calibri"/>
      <family val="2"/>
      <charset val="1"/>
    </font>
    <font>
      <b/>
      <sz val="10"/>
      <color rgb="FFC55A11"/>
      <name val="Calibri"/>
      <family val="2"/>
      <charset val="1"/>
    </font>
    <font>
      <b/>
      <sz val="11"/>
      <color rgb="FFC55A11"/>
      <name val="Calibri"/>
      <family val="2"/>
      <charset val="1"/>
    </font>
    <font>
      <i/>
      <sz val="9"/>
      <color rgb="FF595959"/>
      <name val="Calibri"/>
      <family val="2"/>
      <charset val="1"/>
    </font>
    <font>
      <b/>
      <sz val="18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1F3864"/>
      <name val="Calibri"/>
      <charset val="1"/>
    </font>
    <font>
      <b/>
      <sz val="10"/>
      <color rgb="FF1B5E20"/>
      <name val="Calibri"/>
      <charset val="1"/>
    </font>
    <font>
      <i/>
      <sz val="10"/>
      <color rgb="FF1F3864"/>
      <name val="Calibri"/>
      <charset val="1"/>
    </font>
    <font>
      <b/>
      <sz val="11"/>
      <color rgb="FFFFFFFF"/>
      <name val="Calibri"/>
      <charset val="1"/>
    </font>
    <font>
      <b/>
      <sz val="24"/>
      <color rgb="FFFFFFFF"/>
      <name val="Calibri"/>
      <charset val="1"/>
    </font>
    <font>
      <b/>
      <sz val="9"/>
      <color rgb="FFFFFFFF"/>
      <name val="Calibri"/>
      <charset val="1"/>
    </font>
    <font>
      <sz val="10"/>
      <color rgb="FF1E3A5F"/>
      <name val="Calibri"/>
      <charset val="1"/>
    </font>
    <font>
      <b/>
      <sz val="10"/>
      <color rgb="FFC55A11"/>
      <name val="Calibri"/>
      <charset val="1"/>
    </font>
    <font>
      <b/>
      <sz val="10"/>
      <color rgb="FF1F3864"/>
      <name val="Calibri"/>
      <charset val="1"/>
    </font>
    <font>
      <sz val="10"/>
      <color rgb="FFC55A11"/>
      <name val="Calibri"/>
      <charset val="1"/>
    </font>
    <font>
      <sz val="10"/>
      <color rgb="FF006064"/>
      <name val="Calibri"/>
      <charset val="1"/>
    </font>
    <font>
      <b/>
      <sz val="9"/>
      <color rgb="FF1E3A5F"/>
      <name val="Calibri"/>
      <charset val="1"/>
    </font>
    <font>
      <sz val="9"/>
      <color rgb="FF1E3A5F"/>
      <name val="Calibri"/>
      <charset val="1"/>
    </font>
    <font>
      <b/>
      <sz val="9"/>
      <color rgb="FFC55A11"/>
      <name val="Calibri"/>
      <charset val="1"/>
    </font>
    <font>
      <sz val="9"/>
      <color rgb="FFC55A11"/>
      <name val="Calibri"/>
      <charset val="1"/>
    </font>
    <font>
      <b/>
      <sz val="9"/>
      <color rgb="FF006064"/>
      <name val="Calibri"/>
      <charset val="1"/>
    </font>
    <font>
      <sz val="9"/>
      <color rgb="FF006064"/>
      <name val="Calibri"/>
      <charset val="1"/>
    </font>
    <font>
      <i/>
      <sz val="9"/>
      <color rgb="FF5D4037"/>
      <name val="Calibri"/>
      <charset val="1"/>
    </font>
    <font>
      <i/>
      <sz val="9"/>
      <color rgb="FF888888"/>
      <name val="Calibri"/>
      <charset val="1"/>
    </font>
    <font>
      <b/>
      <sz val="10"/>
      <color rgb="FFFFFFFF"/>
      <name val="Arial"/>
      <family val="2"/>
      <charset val="1"/>
    </font>
    <font>
      <sz val="10"/>
      <color rgb="FF006100"/>
      <name val="Arial"/>
      <family val="2"/>
      <charset val="1"/>
    </font>
    <font>
      <sz val="10"/>
      <color rgb="FF9C0006"/>
      <name val="Arial"/>
      <family val="2"/>
      <charset val="1"/>
    </font>
    <font>
      <i/>
      <sz val="9"/>
      <color rgb="FF1F3864"/>
      <name val="Arial"/>
      <family val="2"/>
      <charset val="1"/>
    </font>
    <font>
      <b/>
      <sz val="16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9"/>
      <color rgb="FF004D40"/>
      <name val="Calibri"/>
      <family val="2"/>
      <charset val="1"/>
    </font>
    <font>
      <sz val="9"/>
      <color rgb="FF595959"/>
      <name val="Arial"/>
      <family val="2"/>
      <charset val="1"/>
    </font>
    <font>
      <i/>
      <sz val="9"/>
      <color theme="0"/>
      <name val="Calibri"/>
      <family val="2"/>
      <charset val="1"/>
    </font>
    <font>
      <sz val="9"/>
      <color rgb="FF1F3864"/>
      <name val="Calibri"/>
      <charset val="1"/>
    </font>
    <font>
      <b/>
      <sz val="9"/>
      <color rgb="FF1B5E20"/>
      <name val="Calibri"/>
      <charset val="1"/>
    </font>
    <font>
      <i/>
      <sz val="9"/>
      <color rgb="FF1F3864"/>
      <name val="Calibri"/>
      <charset val="1"/>
    </font>
    <font>
      <b/>
      <sz val="22"/>
      <color rgb="FFFFFFFF"/>
      <name val="Calibri"/>
      <charset val="1"/>
    </font>
    <font>
      <b/>
      <sz val="7"/>
      <color rgb="FFFFFFFF"/>
      <name val="Calibri"/>
      <charset val="1"/>
    </font>
    <font>
      <b/>
      <sz val="9"/>
      <color rgb="FF1F3864"/>
      <name val="Calibri"/>
      <charset val="1"/>
    </font>
    <font>
      <i/>
      <sz val="7"/>
      <color rgb="FF888888"/>
      <name val="Calibri"/>
      <charset val="1"/>
    </font>
    <font>
      <b/>
      <sz val="14"/>
      <color rgb="FFFFFFFF"/>
      <name val="Calibri"/>
      <charset val="1"/>
    </font>
    <font>
      <b/>
      <sz val="20"/>
      <color rgb="FFFFFFFF"/>
      <name val="Calibri"/>
      <charset val="1"/>
    </font>
    <font>
      <b/>
      <sz val="7.5"/>
      <color rgb="FFFFFFFF"/>
      <name val="Calibri"/>
      <charset val="1"/>
    </font>
    <font>
      <b/>
      <sz val="9"/>
      <color rgb="FF4527A0"/>
      <name val="Calibri"/>
      <charset val="1"/>
    </font>
    <font>
      <b/>
      <sz val="8.5"/>
      <color rgb="FFFFFFFF"/>
      <name val="Calibri"/>
      <charset val="1"/>
    </font>
    <font>
      <sz val="8.5"/>
      <color rgb="FFAAAAAA"/>
      <name val="Calibri"/>
      <charset val="1"/>
    </font>
    <font>
      <sz val="8.5"/>
      <color rgb="FF1F3864"/>
      <name val="Calibri"/>
      <charset val="1"/>
    </font>
    <font>
      <b/>
      <sz val="8.5"/>
      <color rgb="FF1F3864"/>
      <name val="Calibri"/>
      <charset val="1"/>
    </font>
    <font>
      <sz val="8.5"/>
      <color theme="1"/>
      <name val="Calibri"/>
      <family val="2"/>
      <charset val="1"/>
    </font>
    <font>
      <sz val="9"/>
      <color theme="1"/>
      <name val="Calibri"/>
    </font>
    <font>
      <b/>
      <sz val="14"/>
      <color rgb="FFFFFFFF"/>
      <name val="Calibri"/>
    </font>
    <font>
      <b/>
      <sz val="9"/>
      <color theme="1"/>
      <name val="Calibri"/>
    </font>
    <font>
      <b/>
      <sz val="9"/>
      <color rgb="FFFFFFFF"/>
      <name val="Calibri"/>
    </font>
    <font>
      <sz val="9"/>
      <color rgb="FF1F3864"/>
      <name val="Calibri"/>
    </font>
    <font>
      <i/>
      <sz val="9"/>
      <color rgb="FF1F3864"/>
      <name val="Calibri"/>
    </font>
    <font>
      <b/>
      <sz val="9"/>
      <color rgb="FF1F3864"/>
      <name val="Calibri"/>
    </font>
    <font>
      <b/>
      <sz val="9"/>
      <color rgb="FF1B5E20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sz val="9"/>
      <color rgb="FF1E3A5F"/>
      <name val="Calibri"/>
    </font>
    <font>
      <b/>
      <sz val="9"/>
      <color rgb="FFC55A11"/>
      <name val="Calibri"/>
    </font>
    <font>
      <b/>
      <sz val="9"/>
      <color rgb="FF1E3A5F"/>
      <name val="Calibri"/>
    </font>
    <font>
      <b/>
      <sz val="9"/>
      <color rgb="FF006064"/>
      <name val="Calibri"/>
    </font>
    <font>
      <sz val="8"/>
      <color theme="1"/>
      <name val="Calibri"/>
    </font>
    <font>
      <sz val="8"/>
      <color theme="1"/>
      <name val="Calibri"/>
      <family val="2"/>
      <charset val="1"/>
    </font>
    <font>
      <b/>
      <sz val="8"/>
      <color rgb="FF1F3864"/>
      <name val="Calibri"/>
    </font>
    <font>
      <b/>
      <sz val="8"/>
      <color rgb="FFC55A11"/>
      <name val="Calibri"/>
    </font>
    <font>
      <b/>
      <sz val="8"/>
      <color rgb="FF006064"/>
      <name val="Calibri"/>
    </font>
    <font>
      <i/>
      <sz val="7"/>
      <color rgb="FF888888"/>
      <name val="Calibri"/>
    </font>
    <font>
      <b/>
      <sz val="20"/>
      <color theme="1"/>
      <name val="Calibri"/>
      <family val="2"/>
    </font>
    <font>
      <b/>
      <sz val="7.5"/>
      <color theme="1"/>
      <name val="Calibri"/>
      <family val="2"/>
    </font>
  </fonts>
  <fills count="61">
    <fill>
      <patternFill patternType="none"/>
    </fill>
    <fill>
      <patternFill patternType="gray125"/>
    </fill>
    <fill>
      <patternFill patternType="solid">
        <fgColor rgb="FF1F3864"/>
        <bgColor rgb="FF1E3A5F"/>
      </patternFill>
    </fill>
    <fill>
      <patternFill patternType="solid">
        <fgColor rgb="FF2F5496"/>
        <bgColor rgb="FF2E75B6"/>
      </patternFill>
    </fill>
    <fill>
      <patternFill patternType="solid">
        <fgColor rgb="FFBDD7EE"/>
        <bgColor rgb="FFB2DFDB"/>
      </patternFill>
    </fill>
    <fill>
      <patternFill patternType="solid">
        <fgColor rgb="FFFFFFFF"/>
        <bgColor rgb="FFF8FAFF"/>
      </patternFill>
    </fill>
    <fill>
      <patternFill patternType="solid">
        <fgColor rgb="FFFFCCCC"/>
        <bgColor rgb="FFFFC7CE"/>
      </patternFill>
    </fill>
    <fill>
      <patternFill patternType="solid">
        <fgColor rgb="FFFCE4D6"/>
        <bgColor rgb="FFFFF0E0"/>
      </patternFill>
    </fill>
    <fill>
      <patternFill patternType="solid">
        <fgColor rgb="FFFFD966"/>
        <bgColor rgb="FFFFCCCC"/>
      </patternFill>
    </fill>
    <fill>
      <patternFill patternType="solid">
        <fgColor rgb="FF70AD47"/>
        <bgColor rgb="FF888888"/>
      </patternFill>
    </fill>
    <fill>
      <patternFill patternType="solid">
        <fgColor rgb="FFE2EFDA"/>
        <bgColor rgb="FFE0F2F1"/>
      </patternFill>
    </fill>
    <fill>
      <patternFill patternType="solid">
        <fgColor rgb="FF4472C4"/>
        <bgColor rgb="FF2E75B6"/>
      </patternFill>
    </fill>
    <fill>
      <patternFill patternType="solid">
        <fgColor rgb="FF008080"/>
        <bgColor rgb="FF006666"/>
      </patternFill>
    </fill>
    <fill>
      <patternFill patternType="solid">
        <fgColor rgb="FFE0F2F1"/>
        <bgColor rgb="FFE8F7F5"/>
      </patternFill>
    </fill>
    <fill>
      <patternFill patternType="solid">
        <fgColor rgb="FF2E75B6"/>
        <bgColor rgb="FF4472C4"/>
      </patternFill>
    </fill>
    <fill>
      <patternFill patternType="solid">
        <fgColor rgb="FFF2F2F2"/>
        <bgColor rgb="FFF5F5F5"/>
      </patternFill>
    </fill>
    <fill>
      <patternFill patternType="solid">
        <fgColor rgb="FFC8E6C9"/>
        <bgColor rgb="FFC6EFCE"/>
      </patternFill>
    </fill>
    <fill>
      <patternFill patternType="solid">
        <fgColor rgb="FF1E3A5F"/>
        <bgColor rgb="FF1F3864"/>
      </patternFill>
    </fill>
    <fill>
      <patternFill patternType="solid">
        <fgColor rgb="FFC55A11"/>
        <bgColor rgb="FF5D4037"/>
      </patternFill>
    </fill>
    <fill>
      <patternFill patternType="solid">
        <fgColor rgb="FF2E7D32"/>
        <bgColor rgb="FF1B5E20"/>
      </patternFill>
    </fill>
    <fill>
      <patternFill patternType="solid">
        <fgColor rgb="FF006064"/>
        <bgColor rgb="FF006666"/>
      </patternFill>
    </fill>
    <fill>
      <patternFill patternType="solid">
        <fgColor rgb="FFEEF4FF"/>
        <bgColor rgb="FFF0F5FF"/>
      </patternFill>
    </fill>
    <fill>
      <patternFill patternType="solid">
        <fgColor rgb="FFEEF2FA"/>
        <bgColor rgb="FFEEF4FF"/>
      </patternFill>
    </fill>
    <fill>
      <patternFill patternType="solid">
        <fgColor rgb="FFF0F5FF"/>
        <bgColor rgb="FFEEF4FF"/>
      </patternFill>
    </fill>
    <fill>
      <patternFill patternType="solid">
        <fgColor rgb="FFE8F0FE"/>
        <bgColor rgb="FFEAEEF5"/>
      </patternFill>
    </fill>
    <fill>
      <patternFill patternType="solid">
        <fgColor rgb="FFFFF0E0"/>
        <bgColor rgb="FFFFF8F0"/>
      </patternFill>
    </fill>
    <fill>
      <patternFill patternType="solid">
        <fgColor rgb="FFFFF8F0"/>
        <bgColor rgb="FFF5F5F5"/>
      </patternFill>
    </fill>
    <fill>
      <patternFill patternType="solid">
        <fgColor rgb="FFE8F7F5"/>
        <bgColor rgb="FFEEF4FF"/>
      </patternFill>
    </fill>
    <fill>
      <patternFill patternType="solid">
        <fgColor rgb="FFD4F0EA"/>
        <bgColor rgb="FFE0F2F1"/>
      </patternFill>
    </fill>
    <fill>
      <patternFill patternType="solid">
        <fgColor rgb="FF4527A0"/>
        <bgColor rgb="FF1F3864"/>
      </patternFill>
    </fill>
    <fill>
      <patternFill patternType="solid">
        <fgColor rgb="FFF3EDFF"/>
        <bgColor rgb="FFEEF2FA"/>
      </patternFill>
    </fill>
    <fill>
      <patternFill patternType="solid">
        <fgColor rgb="FFEDE7F6"/>
        <bgColor rgb="FFEAEEF5"/>
      </patternFill>
    </fill>
    <fill>
      <patternFill patternType="solid">
        <fgColor rgb="FFEAEEF5"/>
        <bgColor rgb="FFE8F0FE"/>
      </patternFill>
    </fill>
    <fill>
      <patternFill patternType="solid">
        <fgColor rgb="FFF8FAFF"/>
        <bgColor rgb="FFF5F5F5"/>
      </patternFill>
    </fill>
    <fill>
      <patternFill patternType="solid">
        <fgColor rgb="FFF5F5F5"/>
        <bgColor rgb="FFF2F2F2"/>
      </patternFill>
    </fill>
    <fill>
      <patternFill patternType="solid">
        <fgColor rgb="FFFFC7CE"/>
        <bgColor rgb="FFFFCCCC"/>
      </patternFill>
    </fill>
    <fill>
      <patternFill patternType="solid">
        <fgColor rgb="FF006666"/>
        <bgColor rgb="FF006064"/>
      </patternFill>
    </fill>
    <fill>
      <patternFill patternType="solid">
        <fgColor rgb="FFB2DFDB"/>
        <bgColor rgb="FFBDD7EE"/>
      </patternFill>
    </fill>
    <fill>
      <patternFill patternType="solid">
        <fgColor rgb="FFFCE4D6"/>
        <bgColor indexed="64"/>
      </patternFill>
    </fill>
    <fill>
      <patternFill patternType="solid">
        <fgColor rgb="FFFFFF99"/>
        <bgColor rgb="FFFFCCCC"/>
      </patternFill>
    </fill>
    <fill>
      <patternFill patternType="solid">
        <fgColor rgb="FF1F386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EEF2FA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8F0"/>
        <bgColor indexed="64"/>
      </patternFill>
    </fill>
    <fill>
      <patternFill patternType="solid">
        <fgColor rgb="FFF0FAFA"/>
        <bgColor indexed="64"/>
      </patternFill>
    </fill>
    <fill>
      <patternFill patternType="solid">
        <fgColor rgb="FF4527A0"/>
        <bgColor indexed="64"/>
      </patternFill>
    </fill>
    <fill>
      <patternFill patternType="solid">
        <fgColor rgb="FFF3EFFF"/>
        <bgColor indexed="64"/>
      </patternFill>
    </fill>
    <fill>
      <patternFill patternType="solid">
        <fgColor rgb="FFF5F8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1E3A5F"/>
      </left>
      <right/>
      <top style="medium">
        <color rgb="FF1E3A5F"/>
      </top>
      <bottom style="thin">
        <color rgb="FFFFFFFF"/>
      </bottom>
      <diagonal/>
    </border>
    <border>
      <left style="medium">
        <color rgb="FFC55A11"/>
      </left>
      <right/>
      <top style="medium">
        <color rgb="FFC55A11"/>
      </top>
      <bottom style="thin">
        <color rgb="FFFFFFFF"/>
      </bottom>
      <diagonal/>
    </border>
    <border>
      <left style="medium">
        <color rgb="FF2E7D32"/>
      </left>
      <right/>
      <top style="medium">
        <color rgb="FF2E7D32"/>
      </top>
      <bottom style="thin">
        <color rgb="FFFFFFFF"/>
      </bottom>
      <diagonal/>
    </border>
    <border>
      <left style="medium">
        <color rgb="FF006064"/>
      </left>
      <right/>
      <top style="medium">
        <color rgb="FF006064"/>
      </top>
      <bottom style="thin">
        <color rgb="FFFFFFFF"/>
      </bottom>
      <diagonal/>
    </border>
    <border>
      <left style="medium">
        <color rgb="FF2E75B6"/>
      </left>
      <right/>
      <top style="medium">
        <color rgb="FF2E75B6"/>
      </top>
      <bottom style="thin">
        <color rgb="FFFFFFFF"/>
      </bottom>
      <diagonal/>
    </border>
    <border>
      <left style="medium">
        <color rgb="FF1E3A5F"/>
      </left>
      <right/>
      <top style="thin">
        <color rgb="FFFFFFFF"/>
      </top>
      <bottom style="medium">
        <color rgb="FF1E3A5F"/>
      </bottom>
      <diagonal/>
    </border>
    <border>
      <left style="medium">
        <color rgb="FFC55A11"/>
      </left>
      <right/>
      <top style="thin">
        <color rgb="FFFFFFFF"/>
      </top>
      <bottom style="medium">
        <color rgb="FFC55A11"/>
      </bottom>
      <diagonal/>
    </border>
    <border>
      <left style="medium">
        <color rgb="FF2E7D32"/>
      </left>
      <right/>
      <top style="thin">
        <color rgb="FFFFFFFF"/>
      </top>
      <bottom style="medium">
        <color rgb="FF2E7D32"/>
      </bottom>
      <diagonal/>
    </border>
    <border>
      <left style="medium">
        <color rgb="FF006064"/>
      </left>
      <right/>
      <top style="thin">
        <color rgb="FFFFFFFF"/>
      </top>
      <bottom style="medium">
        <color rgb="FF006064"/>
      </bottom>
      <diagonal/>
    </border>
    <border>
      <left style="medium">
        <color rgb="FF2E75B6"/>
      </left>
      <right/>
      <top style="thin">
        <color rgb="FFFFFFFF"/>
      </top>
      <bottom style="medium">
        <color rgb="FF2E75B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/>
      <top/>
      <bottom/>
      <diagonal/>
    </border>
    <border>
      <left style="thin">
        <color rgb="FFAAAAAA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3"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5" fillId="0" borderId="0" xfId="0" applyFont="1"/>
    <xf numFmtId="0" fontId="7" fillId="3" borderId="3" xfId="0" applyFont="1" applyFill="1" applyBorder="1" applyAlignment="1">
      <alignment horizontal="left" vertical="center" wrapText="1"/>
    </xf>
    <xf numFmtId="0" fontId="7" fillId="14" borderId="4" xfId="0" applyFont="1" applyFill="1" applyBorder="1" applyAlignment="1">
      <alignment horizontal="center" vertical="center" wrapText="1"/>
    </xf>
    <xf numFmtId="167" fontId="11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/>
    <xf numFmtId="0" fontId="8" fillId="8" borderId="3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center" vertical="center" wrapText="1"/>
    </xf>
    <xf numFmtId="168" fontId="10" fillId="4" borderId="3" xfId="0" applyNumberFormat="1" applyFont="1" applyFill="1" applyBorder="1" applyAlignment="1">
      <alignment horizontal="center" vertical="center" wrapText="1"/>
    </xf>
    <xf numFmtId="168" fontId="10" fillId="5" borderId="3" xfId="0" applyNumberFormat="1" applyFont="1" applyFill="1" applyBorder="1" applyAlignment="1">
      <alignment horizontal="center" vertical="center" wrapText="1"/>
    </xf>
    <xf numFmtId="168" fontId="10" fillId="15" borderId="3" xfId="0" applyNumberFormat="1" applyFont="1" applyFill="1" applyBorder="1" applyAlignment="1">
      <alignment horizontal="center" vertical="center" wrapText="1"/>
    </xf>
    <xf numFmtId="168" fontId="12" fillId="7" borderId="4" xfId="0" applyNumberFormat="1" applyFont="1" applyFill="1" applyBorder="1" applyAlignment="1">
      <alignment horizontal="center" vertical="center" wrapText="1"/>
    </xf>
    <xf numFmtId="0" fontId="5" fillId="7" borderId="4" xfId="0" applyFont="1" applyFill="1" applyBorder="1"/>
    <xf numFmtId="168" fontId="13" fillId="7" borderId="4" xfId="0" applyNumberFormat="1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168" fontId="23" fillId="21" borderId="18" xfId="0" applyNumberFormat="1" applyFont="1" applyFill="1" applyBorder="1" applyAlignment="1">
      <alignment horizontal="center" vertical="center" wrapText="1"/>
    </xf>
    <xf numFmtId="0" fontId="0" fillId="21" borderId="18" xfId="0" applyFill="1" applyBorder="1"/>
    <xf numFmtId="168" fontId="24" fillId="7" borderId="18" xfId="0" applyNumberFormat="1" applyFont="1" applyFill="1" applyBorder="1" applyAlignment="1">
      <alignment horizontal="center" vertical="center" wrapText="1"/>
    </xf>
    <xf numFmtId="0" fontId="0" fillId="7" borderId="18" xfId="0" applyFill="1" applyBorder="1"/>
    <xf numFmtId="168" fontId="25" fillId="4" borderId="18" xfId="0" applyNumberFormat="1" applyFont="1" applyFill="1" applyBorder="1" applyAlignment="1">
      <alignment horizontal="center" vertical="center" wrapText="1"/>
    </xf>
    <xf numFmtId="0" fontId="0" fillId="4" borderId="18" xfId="0" applyFill="1" applyBorder="1"/>
    <xf numFmtId="0" fontId="0" fillId="23" borderId="18" xfId="0" applyFill="1" applyBorder="1"/>
    <xf numFmtId="0" fontId="0" fillId="24" borderId="18" xfId="0" applyFill="1" applyBorder="1"/>
    <xf numFmtId="0" fontId="0" fillId="25" borderId="18" xfId="0" applyFill="1" applyBorder="1"/>
    <xf numFmtId="0" fontId="0" fillId="26" borderId="18" xfId="0" applyFill="1" applyBorder="1"/>
    <xf numFmtId="0" fontId="0" fillId="27" borderId="18" xfId="0" applyFill="1" applyBorder="1"/>
    <xf numFmtId="0" fontId="0" fillId="28" borderId="18" xfId="0" applyFill="1" applyBorder="1"/>
    <xf numFmtId="0" fontId="22" fillId="29" borderId="4" xfId="0" applyFont="1" applyFill="1" applyBorder="1" applyAlignment="1">
      <alignment horizontal="center" vertical="center" wrapText="1"/>
    </xf>
    <xf numFmtId="0" fontId="36" fillId="14" borderId="2" xfId="0" applyFont="1" applyFill="1" applyBorder="1" applyAlignment="1">
      <alignment horizontal="center" vertical="center" wrapText="1"/>
    </xf>
    <xf numFmtId="164" fontId="4" fillId="15" borderId="2" xfId="0" applyNumberFormat="1" applyFont="1" applyFill="1" applyBorder="1" applyAlignment="1">
      <alignment horizontal="center" vertical="center"/>
    </xf>
    <xf numFmtId="2" fontId="4" fillId="8" borderId="2" xfId="0" applyNumberFormat="1" applyFont="1" applyFill="1" applyBorder="1" applyAlignment="1">
      <alignment horizontal="center" vertical="center"/>
    </xf>
    <xf numFmtId="2" fontId="37" fillId="10" borderId="2" xfId="0" applyNumberFormat="1" applyFont="1" applyFill="1" applyBorder="1" applyAlignment="1">
      <alignment horizontal="center" vertical="center"/>
    </xf>
    <xf numFmtId="2" fontId="38" fillId="35" borderId="2" xfId="0" applyNumberFormat="1" applyFont="1" applyFill="1" applyBorder="1" applyAlignment="1">
      <alignment horizontal="center" vertical="center"/>
    </xf>
    <xf numFmtId="2" fontId="3" fillId="10" borderId="2" xfId="0" applyNumberFormat="1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7" fillId="36" borderId="3" xfId="0" applyFont="1" applyFill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left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8" fillId="37" borderId="3" xfId="0" applyFont="1" applyFill="1" applyBorder="1" applyAlignment="1">
      <alignment horizontal="left" vertical="center" wrapText="1"/>
    </xf>
    <xf numFmtId="0" fontId="8" fillId="37" borderId="3" xfId="0" applyFont="1" applyFill="1" applyBorder="1" applyAlignment="1">
      <alignment horizontal="center" vertical="center" wrapText="1"/>
    </xf>
    <xf numFmtId="164" fontId="8" fillId="8" borderId="3" xfId="0" applyNumberFormat="1" applyFont="1" applyFill="1" applyBorder="1" applyAlignment="1">
      <alignment horizontal="center" vertical="center" wrapText="1"/>
    </xf>
    <xf numFmtId="166" fontId="8" fillId="8" borderId="3" xfId="0" applyNumberFormat="1" applyFont="1" applyFill="1" applyBorder="1" applyAlignment="1">
      <alignment horizontal="center" vertical="center" wrapText="1"/>
    </xf>
    <xf numFmtId="166" fontId="8" fillId="13" borderId="3" xfId="0" applyNumberFormat="1" applyFont="1" applyFill="1" applyBorder="1" applyAlignment="1">
      <alignment horizontal="center" vertical="center" wrapText="1"/>
    </xf>
    <xf numFmtId="166" fontId="10" fillId="10" borderId="3" xfId="0" applyNumberFormat="1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166" fontId="8" fillId="37" borderId="3" xfId="0" applyNumberFormat="1" applyFont="1" applyFill="1" applyBorder="1" applyAlignment="1">
      <alignment horizontal="center" vertical="center" wrapText="1"/>
    </xf>
    <xf numFmtId="0" fontId="43" fillId="15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left" vertical="center" wrapText="1"/>
    </xf>
    <xf numFmtId="0" fontId="43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36" fillId="2" borderId="2" xfId="0" applyFont="1" applyFill="1" applyBorder="1" applyAlignment="1">
      <alignment horizontal="center" vertical="center"/>
    </xf>
    <xf numFmtId="0" fontId="36" fillId="2" borderId="2" xfId="0" applyFont="1" applyFill="1" applyBorder="1"/>
    <xf numFmtId="0" fontId="4" fillId="15" borderId="2" xfId="0" applyFont="1" applyFill="1" applyBorder="1" applyAlignment="1">
      <alignment horizontal="left" vertical="center"/>
    </xf>
    <xf numFmtId="0" fontId="4" fillId="15" borderId="2" xfId="0" applyFont="1" applyFill="1" applyBorder="1"/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/>
    <xf numFmtId="168" fontId="8" fillId="39" borderId="3" xfId="0" applyNumberFormat="1" applyFont="1" applyFill="1" applyBorder="1" applyAlignment="1">
      <alignment horizontal="center" vertical="center" wrapText="1"/>
    </xf>
    <xf numFmtId="168" fontId="29" fillId="21" borderId="18" xfId="0" applyNumberFormat="1" applyFont="1" applyFill="1" applyBorder="1" applyAlignment="1">
      <alignment horizontal="center" vertical="center" wrapText="1"/>
    </xf>
    <xf numFmtId="168" fontId="28" fillId="21" borderId="4" xfId="0" applyNumberFormat="1" applyFont="1" applyFill="1" applyBorder="1" applyAlignment="1">
      <alignment horizontal="center" vertical="center" wrapText="1"/>
    </xf>
    <xf numFmtId="168" fontId="30" fillId="7" borderId="18" xfId="0" applyNumberFormat="1" applyFont="1" applyFill="1" applyBorder="1" applyAlignment="1">
      <alignment horizontal="center" vertical="center" wrapText="1"/>
    </xf>
    <xf numFmtId="168" fontId="30" fillId="7" borderId="4" xfId="0" applyNumberFormat="1" applyFont="1" applyFill="1" applyBorder="1" applyAlignment="1">
      <alignment horizontal="center" vertical="center" wrapText="1"/>
    </xf>
    <xf numFmtId="168" fontId="50" fillId="4" borderId="18" xfId="0" applyNumberFormat="1" applyFont="1" applyFill="1" applyBorder="1" applyAlignment="1">
      <alignment horizontal="center" vertical="center" wrapText="1"/>
    </xf>
    <xf numFmtId="168" fontId="50" fillId="4" borderId="4" xfId="0" applyNumberFormat="1" applyFont="1" applyFill="1" applyBorder="1" applyAlignment="1">
      <alignment horizontal="center" vertical="center" wrapText="1"/>
    </xf>
    <xf numFmtId="168" fontId="22" fillId="29" borderId="4" xfId="0" applyNumberFormat="1" applyFont="1" applyFill="1" applyBorder="1" applyAlignment="1">
      <alignment horizontal="center" vertical="center" wrapText="1"/>
    </xf>
    <xf numFmtId="169" fontId="45" fillId="30" borderId="18" xfId="0" applyNumberFormat="1" applyFont="1" applyFill="1" applyBorder="1" applyAlignment="1">
      <alignment horizontal="center" vertical="center" wrapText="1"/>
    </xf>
    <xf numFmtId="169" fontId="55" fillId="30" borderId="4" xfId="0" applyNumberFormat="1" applyFont="1" applyFill="1" applyBorder="1" applyAlignment="1">
      <alignment horizontal="center" vertical="center" wrapText="1"/>
    </xf>
    <xf numFmtId="169" fontId="45" fillId="31" borderId="18" xfId="0" applyNumberFormat="1" applyFont="1" applyFill="1" applyBorder="1" applyAlignment="1">
      <alignment horizontal="center" vertical="center" wrapText="1"/>
    </xf>
    <xf numFmtId="169" fontId="55" fillId="31" borderId="4" xfId="0" applyNumberFormat="1" applyFont="1" applyFill="1" applyBorder="1" applyAlignment="1">
      <alignment horizontal="center" vertical="center" wrapText="1"/>
    </xf>
    <xf numFmtId="0" fontId="56" fillId="2" borderId="4" xfId="0" applyFont="1" applyFill="1" applyBorder="1" applyAlignment="1">
      <alignment horizontal="center" vertical="center" wrapText="1"/>
    </xf>
    <xf numFmtId="0" fontId="56" fillId="2" borderId="5" xfId="0" applyFont="1" applyFill="1" applyBorder="1" applyAlignment="1">
      <alignment vertical="center" wrapText="1"/>
    </xf>
    <xf numFmtId="0" fontId="57" fillId="32" borderId="18" xfId="0" applyFont="1" applyFill="1" applyBorder="1" applyAlignment="1">
      <alignment horizontal="center" vertical="center" wrapText="1"/>
    </xf>
    <xf numFmtId="0" fontId="58" fillId="33" borderId="18" xfId="0" applyFont="1" applyFill="1" applyBorder="1" applyAlignment="1">
      <alignment horizontal="left" vertical="center" wrapText="1"/>
    </xf>
    <xf numFmtId="169" fontId="58" fillId="33" borderId="18" xfId="0" applyNumberFormat="1" applyFont="1" applyFill="1" applyBorder="1" applyAlignment="1">
      <alignment horizontal="center" vertical="center" wrapText="1"/>
    </xf>
    <xf numFmtId="169" fontId="59" fillId="33" borderId="18" xfId="0" applyNumberFormat="1" applyFont="1" applyFill="1" applyBorder="1" applyAlignment="1">
      <alignment horizontal="center" vertical="center" wrapText="1"/>
    </xf>
    <xf numFmtId="0" fontId="58" fillId="5" borderId="18" xfId="0" applyFont="1" applyFill="1" applyBorder="1" applyAlignment="1">
      <alignment horizontal="left" vertical="center" wrapText="1"/>
    </xf>
    <xf numFmtId="169" fontId="58" fillId="5" borderId="18" xfId="0" applyNumberFormat="1" applyFont="1" applyFill="1" applyBorder="1" applyAlignment="1">
      <alignment horizontal="center" vertical="center" wrapText="1"/>
    </xf>
    <xf numFmtId="169" fontId="59" fillId="5" borderId="18" xfId="0" applyNumberFormat="1" applyFont="1" applyFill="1" applyBorder="1" applyAlignment="1">
      <alignment horizontal="center" vertical="center" wrapText="1"/>
    </xf>
    <xf numFmtId="168" fontId="56" fillId="2" borderId="4" xfId="0" applyNumberFormat="1" applyFont="1" applyFill="1" applyBorder="1" applyAlignment="1">
      <alignment horizontal="center" vertical="center" wrapText="1"/>
    </xf>
    <xf numFmtId="0" fontId="60" fillId="2" borderId="4" xfId="0" applyFont="1" applyFill="1" applyBorder="1" applyAlignment="1">
      <alignment wrapText="1"/>
    </xf>
    <xf numFmtId="0" fontId="61" fillId="0" borderId="0" xfId="0" applyFont="1"/>
    <xf numFmtId="0" fontId="6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26" xfId="0" applyBorder="1"/>
    <xf numFmtId="0" fontId="61" fillId="0" borderId="29" xfId="0" applyFont="1" applyBorder="1"/>
    <xf numFmtId="0" fontId="61" fillId="0" borderId="30" xfId="0" applyFont="1" applyBorder="1"/>
    <xf numFmtId="0" fontId="61" fillId="0" borderId="19" xfId="0" applyFont="1" applyBorder="1"/>
    <xf numFmtId="0" fontId="61" fillId="0" borderId="31" xfId="0" applyFont="1" applyBorder="1"/>
    <xf numFmtId="0" fontId="70" fillId="44" borderId="0" xfId="0" applyFont="1" applyFill="1" applyAlignment="1">
      <alignment horizontal="center"/>
    </xf>
    <xf numFmtId="0" fontId="70" fillId="44" borderId="31" xfId="0" applyFont="1" applyFill="1" applyBorder="1" applyAlignment="1">
      <alignment horizontal="center"/>
    </xf>
    <xf numFmtId="170" fontId="61" fillId="45" borderId="0" xfId="0" applyNumberFormat="1" applyFont="1" applyFill="1" applyAlignment="1">
      <alignment horizontal="center"/>
    </xf>
    <xf numFmtId="170" fontId="63" fillId="45" borderId="31" xfId="0" applyNumberFormat="1" applyFont="1" applyFill="1" applyBorder="1" applyAlignment="1">
      <alignment horizontal="center"/>
    </xf>
    <xf numFmtId="170" fontId="72" fillId="38" borderId="0" xfId="0" applyNumberFormat="1" applyFont="1" applyFill="1" applyAlignment="1">
      <alignment horizontal="center"/>
    </xf>
    <xf numFmtId="170" fontId="72" fillId="38" borderId="31" xfId="0" applyNumberFormat="1" applyFont="1" applyFill="1" applyBorder="1" applyAlignment="1">
      <alignment horizontal="center"/>
    </xf>
    <xf numFmtId="170" fontId="67" fillId="42" borderId="29" xfId="0" applyNumberFormat="1" applyFont="1" applyFill="1" applyBorder="1" applyAlignment="1">
      <alignment horizontal="center"/>
    </xf>
    <xf numFmtId="170" fontId="67" fillId="42" borderId="30" xfId="0" applyNumberFormat="1" applyFont="1" applyFill="1" applyBorder="1" applyAlignment="1">
      <alignment horizontal="center"/>
    </xf>
    <xf numFmtId="0" fontId="61" fillId="46" borderId="0" xfId="0" applyFont="1" applyFill="1"/>
    <xf numFmtId="0" fontId="61" fillId="38" borderId="0" xfId="0" applyFont="1" applyFill="1"/>
    <xf numFmtId="0" fontId="61" fillId="47" borderId="0" xfId="0" applyFont="1" applyFill="1"/>
    <xf numFmtId="0" fontId="61" fillId="40" borderId="29" xfId="0" applyFont="1" applyFill="1" applyBorder="1"/>
    <xf numFmtId="0" fontId="70" fillId="51" borderId="0" xfId="0" applyFont="1" applyFill="1"/>
    <xf numFmtId="0" fontId="70" fillId="51" borderId="0" xfId="0" applyFont="1" applyFill="1" applyAlignment="1">
      <alignment horizontal="center"/>
    </xf>
    <xf numFmtId="0" fontId="70" fillId="51" borderId="31" xfId="0" applyFont="1" applyFill="1" applyBorder="1" applyAlignment="1">
      <alignment horizontal="center"/>
    </xf>
    <xf numFmtId="0" fontId="75" fillId="52" borderId="0" xfId="0" applyFont="1" applyFill="1"/>
    <xf numFmtId="170" fontId="75" fillId="52" borderId="0" xfId="0" applyNumberFormat="1" applyFont="1" applyFill="1" applyAlignment="1">
      <alignment horizontal="center"/>
    </xf>
    <xf numFmtId="170" fontId="75" fillId="52" borderId="31" xfId="0" applyNumberFormat="1" applyFont="1" applyFill="1" applyBorder="1" applyAlignment="1">
      <alignment horizontal="center"/>
    </xf>
    <xf numFmtId="0" fontId="75" fillId="0" borderId="0" xfId="0" applyFont="1"/>
    <xf numFmtId="170" fontId="75" fillId="0" borderId="0" xfId="0" applyNumberFormat="1" applyFont="1" applyAlignment="1">
      <alignment horizontal="center"/>
    </xf>
    <xf numFmtId="170" fontId="75" fillId="0" borderId="31" xfId="0" applyNumberFormat="1" applyFont="1" applyBorder="1" applyAlignment="1">
      <alignment horizontal="center"/>
    </xf>
    <xf numFmtId="170" fontId="70" fillId="51" borderId="29" xfId="0" applyNumberFormat="1" applyFont="1" applyFill="1" applyBorder="1" applyAlignment="1">
      <alignment horizontal="center"/>
    </xf>
    <xf numFmtId="170" fontId="70" fillId="51" borderId="30" xfId="0" applyNumberFormat="1" applyFont="1" applyFill="1" applyBorder="1" applyAlignment="1">
      <alignment horizontal="center"/>
    </xf>
    <xf numFmtId="0" fontId="70" fillId="40" borderId="19" xfId="0" applyFont="1" applyFill="1" applyBorder="1"/>
    <xf numFmtId="0" fontId="70" fillId="40" borderId="0" xfId="0" applyFont="1" applyFill="1"/>
    <xf numFmtId="0" fontId="70" fillId="40" borderId="0" xfId="0" applyFont="1" applyFill="1" applyAlignment="1">
      <alignment horizontal="center"/>
    </xf>
    <xf numFmtId="0" fontId="70" fillId="40" borderId="31" xfId="0" applyFont="1" applyFill="1" applyBorder="1" applyAlignment="1">
      <alignment horizontal="center"/>
    </xf>
    <xf numFmtId="0" fontId="75" fillId="53" borderId="19" xfId="0" applyFont="1" applyFill="1" applyBorder="1"/>
    <xf numFmtId="0" fontId="75" fillId="53" borderId="0" xfId="0" applyFont="1" applyFill="1"/>
    <xf numFmtId="49" fontId="75" fillId="53" borderId="0" xfId="0" applyNumberFormat="1" applyFont="1" applyFill="1"/>
    <xf numFmtId="170" fontId="75" fillId="53" borderId="0" xfId="0" applyNumberFormat="1" applyFont="1" applyFill="1" applyAlignment="1">
      <alignment horizontal="center"/>
    </xf>
    <xf numFmtId="170" fontId="75" fillId="53" borderId="31" xfId="0" applyNumberFormat="1" applyFont="1" applyFill="1" applyBorder="1" applyAlignment="1">
      <alignment horizontal="center"/>
    </xf>
    <xf numFmtId="0" fontId="75" fillId="0" borderId="19" xfId="0" applyFont="1" applyBorder="1"/>
    <xf numFmtId="49" fontId="75" fillId="0" borderId="0" xfId="0" applyNumberFormat="1" applyFont="1"/>
    <xf numFmtId="0" fontId="70" fillId="40" borderId="29" xfId="0" applyFont="1" applyFill="1" applyBorder="1"/>
    <xf numFmtId="170" fontId="70" fillId="40" borderId="29" xfId="0" applyNumberFormat="1" applyFont="1" applyFill="1" applyBorder="1" applyAlignment="1">
      <alignment horizontal="center"/>
    </xf>
    <xf numFmtId="170" fontId="70" fillId="40" borderId="30" xfId="0" applyNumberFormat="1" applyFont="1" applyFill="1" applyBorder="1" applyAlignment="1">
      <alignment horizontal="center"/>
    </xf>
    <xf numFmtId="0" fontId="70" fillId="60" borderId="29" xfId="0" applyFont="1" applyFill="1" applyBorder="1"/>
    <xf numFmtId="172" fontId="5" fillId="7" borderId="4" xfId="0" applyNumberFormat="1" applyFont="1" applyFill="1" applyBorder="1"/>
    <xf numFmtId="0" fontId="8" fillId="13" borderId="20" xfId="0" applyFont="1" applyFill="1" applyBorder="1" applyAlignment="1">
      <alignment horizontal="center" vertical="center" wrapText="1"/>
    </xf>
    <xf numFmtId="0" fontId="8" fillId="37" borderId="20" xfId="0" applyFont="1" applyFill="1" applyBorder="1" applyAlignment="1">
      <alignment horizontal="center" vertical="center" wrapText="1"/>
    </xf>
    <xf numFmtId="0" fontId="41" fillId="12" borderId="0" xfId="0" applyFont="1" applyFill="1" applyAlignment="1">
      <alignment horizontal="left" vertical="center" wrapText="1"/>
    </xf>
    <xf numFmtId="0" fontId="42" fillId="13" borderId="0" xfId="0" applyFont="1" applyFill="1" applyAlignment="1">
      <alignment horizontal="left" vertical="center" wrapText="1"/>
    </xf>
    <xf numFmtId="0" fontId="40" fillId="12" borderId="0" xfId="0" applyFont="1" applyFill="1" applyAlignment="1">
      <alignment horizontal="left" vertical="center" wrapText="1"/>
    </xf>
    <xf numFmtId="0" fontId="7" fillId="36" borderId="2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4" fillId="15" borderId="0" xfId="0" applyFont="1" applyFill="1" applyAlignment="1">
      <alignment horizontal="left" vertical="center" wrapText="1"/>
    </xf>
    <xf numFmtId="166" fontId="10" fillId="13" borderId="6" xfId="0" applyNumberFormat="1" applyFont="1" applyFill="1" applyBorder="1" applyAlignment="1">
      <alignment horizontal="center" vertical="center" wrapText="1"/>
    </xf>
    <xf numFmtId="0" fontId="44" fillId="3" borderId="0" xfId="0" applyFont="1" applyFill="1" applyAlignment="1">
      <alignment horizontal="center" vertical="center" wrapText="1"/>
    </xf>
    <xf numFmtId="0" fontId="12" fillId="7" borderId="5" xfId="0" applyFont="1" applyFill="1" applyBorder="1" applyAlignment="1">
      <alignment horizontal="left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8" borderId="23" xfId="0" applyFont="1" applyFill="1" applyBorder="1" applyAlignment="1">
      <alignment horizontal="center" vertical="center" wrapText="1"/>
    </xf>
    <xf numFmtId="0" fontId="8" fillId="8" borderId="24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166" fontId="10" fillId="4" borderId="6" xfId="0" applyNumberFormat="1" applyFont="1" applyFill="1" applyBorder="1" applyAlignment="1">
      <alignment horizontal="center" vertical="center" wrapText="1"/>
    </xf>
    <xf numFmtId="166" fontId="10" fillId="10" borderId="6" xfId="0" applyNumberFormat="1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 wrapText="1"/>
    </xf>
    <xf numFmtId="166" fontId="10" fillId="7" borderId="6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21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 wrapText="1"/>
    </xf>
    <xf numFmtId="164" fontId="9" fillId="8" borderId="4" xfId="0" applyNumberFormat="1" applyFont="1" applyFill="1" applyBorder="1" applyAlignment="1">
      <alignment horizontal="center" vertical="center" wrapText="1"/>
    </xf>
    <xf numFmtId="165" fontId="8" fillId="8" borderId="4" xfId="0" applyNumberFormat="1" applyFont="1" applyFill="1" applyBorder="1" applyAlignment="1">
      <alignment horizontal="left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70" fillId="40" borderId="0" xfId="0" applyFont="1" applyFill="1" applyAlignment="1">
      <alignment horizontal="center"/>
    </xf>
    <xf numFmtId="170" fontId="75" fillId="50" borderId="0" xfId="0" applyNumberFormat="1" applyFont="1" applyFill="1" applyAlignment="1">
      <alignment horizontal="center"/>
    </xf>
    <xf numFmtId="170" fontId="75" fillId="48" borderId="0" xfId="0" applyNumberFormat="1" applyFont="1" applyFill="1" applyAlignment="1">
      <alignment horizontal="center"/>
    </xf>
    <xf numFmtId="170" fontId="75" fillId="50" borderId="29" xfId="0" applyNumberFormat="1" applyFont="1" applyFill="1" applyBorder="1" applyAlignment="1">
      <alignment horizontal="center"/>
    </xf>
    <xf numFmtId="0" fontId="76" fillId="50" borderId="19" xfId="0" applyFont="1" applyFill="1" applyBorder="1"/>
    <xf numFmtId="0" fontId="76" fillId="50" borderId="0" xfId="0" applyFont="1" applyFill="1"/>
    <xf numFmtId="0" fontId="75" fillId="50" borderId="0" xfId="0" applyFont="1" applyFill="1"/>
    <xf numFmtId="171" fontId="75" fillId="50" borderId="0" xfId="0" applyNumberFormat="1" applyFont="1" applyFill="1" applyAlignment="1">
      <alignment horizontal="center"/>
    </xf>
    <xf numFmtId="171" fontId="75" fillId="50" borderId="31" xfId="0" applyNumberFormat="1" applyFont="1" applyFill="1" applyBorder="1" applyAlignment="1">
      <alignment horizontal="center"/>
    </xf>
    <xf numFmtId="0" fontId="76" fillId="48" borderId="19" xfId="0" applyFont="1" applyFill="1" applyBorder="1"/>
    <xf numFmtId="0" fontId="76" fillId="48" borderId="0" xfId="0" applyFont="1" applyFill="1"/>
    <xf numFmtId="0" fontId="75" fillId="48" borderId="0" xfId="0" applyFont="1" applyFill="1"/>
    <xf numFmtId="171" fontId="75" fillId="48" borderId="0" xfId="0" applyNumberFormat="1" applyFont="1" applyFill="1" applyAlignment="1">
      <alignment horizontal="center"/>
    </xf>
    <xf numFmtId="171" fontId="75" fillId="48" borderId="31" xfId="0" applyNumberFormat="1" applyFont="1" applyFill="1" applyBorder="1" applyAlignment="1">
      <alignment horizontal="center"/>
    </xf>
    <xf numFmtId="0" fontId="76" fillId="50" borderId="28" xfId="0" applyFont="1" applyFill="1" applyBorder="1"/>
    <xf numFmtId="0" fontId="76" fillId="50" borderId="29" xfId="0" applyFont="1" applyFill="1" applyBorder="1"/>
    <xf numFmtId="0" fontId="75" fillId="50" borderId="29" xfId="0" applyFont="1" applyFill="1" applyBorder="1"/>
    <xf numFmtId="171" fontId="75" fillId="50" borderId="29" xfId="0" applyNumberFormat="1" applyFont="1" applyFill="1" applyBorder="1" applyAlignment="1">
      <alignment horizontal="center"/>
    </xf>
    <xf numFmtId="171" fontId="75" fillId="50" borderId="30" xfId="0" applyNumberFormat="1" applyFont="1" applyFill="1" applyBorder="1" applyAlignment="1">
      <alignment horizontal="center"/>
    </xf>
    <xf numFmtId="170" fontId="75" fillId="49" borderId="0" xfId="0" applyNumberFormat="1" applyFont="1" applyFill="1" applyAlignment="1">
      <alignment horizontal="center"/>
    </xf>
    <xf numFmtId="170" fontId="75" fillId="47" borderId="0" xfId="0" applyNumberFormat="1" applyFont="1" applyFill="1" applyAlignment="1">
      <alignment horizontal="center"/>
    </xf>
    <xf numFmtId="0" fontId="76" fillId="49" borderId="19" xfId="0" applyFont="1" applyFill="1" applyBorder="1"/>
    <xf numFmtId="0" fontId="76" fillId="49" borderId="0" xfId="0" applyFont="1" applyFill="1"/>
    <xf numFmtId="0" fontId="75" fillId="49" borderId="0" xfId="0" applyFont="1" applyFill="1"/>
    <xf numFmtId="171" fontId="75" fillId="49" borderId="0" xfId="0" applyNumberFormat="1" applyFont="1" applyFill="1" applyAlignment="1">
      <alignment horizontal="center"/>
    </xf>
    <xf numFmtId="171" fontId="75" fillId="49" borderId="31" xfId="0" applyNumberFormat="1" applyFont="1" applyFill="1" applyBorder="1" applyAlignment="1">
      <alignment horizontal="center"/>
    </xf>
    <xf numFmtId="0" fontId="79" fillId="47" borderId="19" xfId="0" applyFont="1" applyFill="1" applyBorder="1"/>
    <xf numFmtId="0" fontId="79" fillId="47" borderId="0" xfId="0" applyFont="1" applyFill="1"/>
    <xf numFmtId="0" fontId="75" fillId="47" borderId="0" xfId="0" applyFont="1" applyFill="1"/>
    <xf numFmtId="171" fontId="75" fillId="47" borderId="0" xfId="0" applyNumberFormat="1" applyFont="1" applyFill="1" applyAlignment="1">
      <alignment horizontal="center"/>
    </xf>
    <xf numFmtId="171" fontId="75" fillId="47" borderId="31" xfId="0" applyNumberFormat="1" applyFont="1" applyFill="1" applyBorder="1" applyAlignment="1">
      <alignment horizontal="center"/>
    </xf>
    <xf numFmtId="171" fontId="75" fillId="45" borderId="0" xfId="0" applyNumberFormat="1" applyFont="1" applyFill="1" applyAlignment="1">
      <alignment horizontal="center"/>
    </xf>
    <xf numFmtId="171" fontId="75" fillId="45" borderId="31" xfId="0" applyNumberFormat="1" applyFont="1" applyFill="1" applyBorder="1" applyAlignment="1">
      <alignment horizontal="center"/>
    </xf>
    <xf numFmtId="0" fontId="70" fillId="44" borderId="19" xfId="0" applyFont="1" applyFill="1" applyBorder="1"/>
    <xf numFmtId="0" fontId="70" fillId="44" borderId="0" xfId="0" applyFont="1" applyFill="1"/>
    <xf numFmtId="170" fontId="75" fillId="45" borderId="0" xfId="0" applyNumberFormat="1" applyFont="1" applyFill="1" applyAlignment="1">
      <alignment horizontal="center"/>
    </xf>
    <xf numFmtId="170" fontId="75" fillId="38" borderId="0" xfId="0" applyNumberFormat="1" applyFont="1" applyFill="1" applyAlignment="1">
      <alignment horizontal="center"/>
    </xf>
    <xf numFmtId="0" fontId="76" fillId="45" borderId="19" xfId="0" applyFont="1" applyFill="1" applyBorder="1"/>
    <xf numFmtId="0" fontId="76" fillId="45" borderId="0" xfId="0" applyFont="1" applyFill="1"/>
    <xf numFmtId="0" fontId="75" fillId="45" borderId="0" xfId="0" applyFont="1" applyFill="1"/>
    <xf numFmtId="0" fontId="78" fillId="38" borderId="19" xfId="0" applyFont="1" applyFill="1" applyBorder="1"/>
    <xf numFmtId="0" fontId="78" fillId="38" borderId="0" xfId="0" applyFont="1" applyFill="1"/>
    <xf numFmtId="0" fontId="75" fillId="38" borderId="0" xfId="0" applyFont="1" applyFill="1"/>
    <xf numFmtId="171" fontId="75" fillId="38" borderId="0" xfId="0" applyNumberFormat="1" applyFont="1" applyFill="1" applyAlignment="1">
      <alignment horizontal="center"/>
    </xf>
    <xf numFmtId="171" fontId="75" fillId="38" borderId="31" xfId="0" applyNumberFormat="1" applyFont="1" applyFill="1" applyBorder="1" applyAlignment="1">
      <alignment horizontal="center"/>
    </xf>
    <xf numFmtId="0" fontId="62" fillId="40" borderId="1" xfId="0" applyFont="1" applyFill="1" applyBorder="1" applyAlignment="1">
      <alignment horizontal="left" vertical="center"/>
    </xf>
    <xf numFmtId="0" fontId="62" fillId="40" borderId="21" xfId="0" applyFont="1" applyFill="1" applyBorder="1" applyAlignment="1">
      <alignment horizontal="left" vertical="center"/>
    </xf>
    <xf numFmtId="0" fontId="62" fillId="48" borderId="21" xfId="0" applyFont="1" applyFill="1" applyBorder="1" applyAlignment="1">
      <alignment horizontal="left" vertical="center"/>
    </xf>
    <xf numFmtId="0" fontId="62" fillId="40" borderId="22" xfId="0" applyFont="1" applyFill="1" applyBorder="1" applyAlignment="1">
      <alignment horizontal="left" vertical="center"/>
    </xf>
    <xf numFmtId="0" fontId="69" fillId="40" borderId="1" xfId="0" applyFont="1" applyFill="1" applyBorder="1" applyAlignment="1">
      <alignment vertical="center"/>
    </xf>
    <xf numFmtId="0" fontId="69" fillId="40" borderId="21" xfId="0" applyFont="1" applyFill="1" applyBorder="1" applyAlignment="1">
      <alignment vertical="center"/>
    </xf>
    <xf numFmtId="0" fontId="69" fillId="48" borderId="21" xfId="0" applyFont="1" applyFill="1" applyBorder="1" applyAlignment="1">
      <alignment vertical="center"/>
    </xf>
    <xf numFmtId="0" fontId="69" fillId="40" borderId="22" xfId="0" applyFont="1" applyFill="1" applyBorder="1" applyAlignment="1">
      <alignment vertical="center"/>
    </xf>
    <xf numFmtId="0" fontId="69" fillId="44" borderId="1" xfId="0" applyFont="1" applyFill="1" applyBorder="1" applyAlignment="1">
      <alignment vertical="center"/>
    </xf>
    <xf numFmtId="0" fontId="69" fillId="44" borderId="21" xfId="0" applyFont="1" applyFill="1" applyBorder="1" applyAlignment="1">
      <alignment vertical="center"/>
    </xf>
    <xf numFmtId="0" fontId="69" fillId="44" borderId="22" xfId="0" applyFont="1" applyFill="1" applyBorder="1" applyAlignment="1">
      <alignment vertical="center"/>
    </xf>
    <xf numFmtId="0" fontId="70" fillId="44" borderId="19" xfId="0" applyFont="1" applyFill="1" applyBorder="1" applyAlignment="1">
      <alignment horizontal="left"/>
    </xf>
    <xf numFmtId="0" fontId="70" fillId="44" borderId="0" xfId="0" applyFont="1" applyFill="1" applyAlignment="1">
      <alignment horizontal="center"/>
    </xf>
    <xf numFmtId="0" fontId="70" fillId="44" borderId="31" xfId="0" applyFont="1" applyFill="1" applyBorder="1" applyAlignment="1">
      <alignment horizontal="center"/>
    </xf>
    <xf numFmtId="0" fontId="73" fillId="46" borderId="19" xfId="0" applyFont="1" applyFill="1" applyBorder="1"/>
    <xf numFmtId="0" fontId="73" fillId="46" borderId="0" xfId="0" applyFont="1" applyFill="1"/>
    <xf numFmtId="170" fontId="61" fillId="46" borderId="0" xfId="0" applyNumberFormat="1" applyFont="1" applyFill="1" applyAlignment="1">
      <alignment horizontal="center"/>
    </xf>
    <xf numFmtId="171" fontId="61" fillId="46" borderId="0" xfId="0" applyNumberFormat="1" applyFont="1" applyFill="1" applyAlignment="1">
      <alignment horizontal="center"/>
    </xf>
    <xf numFmtId="171" fontId="61" fillId="46" borderId="31" xfId="0" applyNumberFormat="1" applyFont="1" applyFill="1" applyBorder="1" applyAlignment="1">
      <alignment horizontal="center"/>
    </xf>
    <xf numFmtId="0" fontId="64" fillId="41" borderId="25" xfId="0" applyFont="1" applyFill="1" applyBorder="1" applyAlignment="1">
      <alignment horizontal="left"/>
    </xf>
    <xf numFmtId="0" fontId="64" fillId="41" borderId="26" xfId="0" applyFont="1" applyFill="1" applyBorder="1" applyAlignment="1">
      <alignment horizontal="left"/>
    </xf>
    <xf numFmtId="0" fontId="64" fillId="41" borderId="19" xfId="0" applyFont="1" applyFill="1" applyBorder="1" applyAlignment="1">
      <alignment horizontal="left"/>
    </xf>
    <xf numFmtId="0" fontId="64" fillId="41" borderId="0" xfId="0" applyFont="1" applyFill="1" applyAlignment="1">
      <alignment horizontal="left"/>
    </xf>
    <xf numFmtId="0" fontId="65" fillId="42" borderId="26" xfId="0" applyFont="1" applyFill="1" applyBorder="1" applyAlignment="1">
      <alignment horizontal="left" indent="1"/>
    </xf>
    <xf numFmtId="165" fontId="65" fillId="42" borderId="0" xfId="0" applyNumberFormat="1" applyFont="1" applyFill="1" applyAlignment="1">
      <alignment horizontal="left" indent="1"/>
    </xf>
    <xf numFmtId="0" fontId="64" fillId="41" borderId="28" xfId="0" applyFont="1" applyFill="1" applyBorder="1" applyAlignment="1">
      <alignment horizontal="left"/>
    </xf>
    <xf numFmtId="0" fontId="64" fillId="41" borderId="29" xfId="0" applyFont="1" applyFill="1" applyBorder="1" applyAlignment="1">
      <alignment horizontal="left"/>
    </xf>
    <xf numFmtId="0" fontId="65" fillId="42" borderId="0" xfId="0" applyFont="1" applyFill="1" applyAlignment="1">
      <alignment horizontal="left" indent="1"/>
    </xf>
    <xf numFmtId="0" fontId="66" fillId="42" borderId="29" xfId="0" applyFont="1" applyFill="1" applyBorder="1" applyAlignment="1">
      <alignment horizontal="left" indent="1"/>
    </xf>
    <xf numFmtId="0" fontId="71" fillId="45" borderId="19" xfId="0" applyFont="1" applyFill="1" applyBorder="1"/>
    <xf numFmtId="0" fontId="71" fillId="45" borderId="0" xfId="0" applyFont="1" applyFill="1"/>
    <xf numFmtId="14" fontId="65" fillId="42" borderId="26" xfId="0" applyNumberFormat="1" applyFont="1" applyFill="1" applyBorder="1" applyAlignment="1">
      <alignment horizontal="left" indent="1"/>
    </xf>
    <xf numFmtId="14" fontId="65" fillId="42" borderId="27" xfId="0" applyNumberFormat="1" applyFont="1" applyFill="1" applyBorder="1" applyAlignment="1">
      <alignment horizontal="left" indent="1"/>
    </xf>
    <xf numFmtId="170" fontId="72" fillId="38" borderId="0" xfId="0" applyNumberFormat="1" applyFont="1" applyFill="1" applyAlignment="1">
      <alignment horizontal="center"/>
    </xf>
    <xf numFmtId="171" fontId="61" fillId="38" borderId="0" xfId="0" applyNumberFormat="1" applyFont="1" applyFill="1" applyAlignment="1">
      <alignment horizontal="center"/>
    </xf>
    <xf numFmtId="171" fontId="61" fillId="38" borderId="31" xfId="0" applyNumberFormat="1" applyFont="1" applyFill="1" applyBorder="1" applyAlignment="1">
      <alignment horizontal="center"/>
    </xf>
    <xf numFmtId="0" fontId="74" fillId="47" borderId="19" xfId="0" applyFont="1" applyFill="1" applyBorder="1"/>
    <xf numFmtId="0" fontId="74" fillId="47" borderId="0" xfId="0" applyFont="1" applyFill="1"/>
    <xf numFmtId="170" fontId="74" fillId="47" borderId="0" xfId="0" applyNumberFormat="1" applyFont="1" applyFill="1" applyAlignment="1">
      <alignment horizontal="center"/>
    </xf>
    <xf numFmtId="171" fontId="61" fillId="47" borderId="0" xfId="0" applyNumberFormat="1" applyFont="1" applyFill="1" applyAlignment="1">
      <alignment horizontal="center"/>
    </xf>
    <xf numFmtId="171" fontId="61" fillId="47" borderId="31" xfId="0" applyNumberFormat="1" applyFont="1" applyFill="1" applyBorder="1" applyAlignment="1">
      <alignment horizontal="center"/>
    </xf>
    <xf numFmtId="0" fontId="64" fillId="40" borderId="28" xfId="0" applyFont="1" applyFill="1" applyBorder="1"/>
    <xf numFmtId="0" fontId="64" fillId="40" borderId="29" xfId="0" applyFont="1" applyFill="1" applyBorder="1"/>
    <xf numFmtId="170" fontId="64" fillId="40" borderId="29" xfId="0" applyNumberFormat="1" applyFont="1" applyFill="1" applyBorder="1" applyAlignment="1">
      <alignment horizontal="center"/>
    </xf>
    <xf numFmtId="9" fontId="64" fillId="40" borderId="29" xfId="0" applyNumberFormat="1" applyFont="1" applyFill="1" applyBorder="1" applyAlignment="1">
      <alignment horizontal="center"/>
    </xf>
    <xf numFmtId="9" fontId="64" fillId="40" borderId="30" xfId="0" applyNumberFormat="1" applyFont="1" applyFill="1" applyBorder="1" applyAlignment="1">
      <alignment horizontal="center"/>
    </xf>
    <xf numFmtId="0" fontId="69" fillId="51" borderId="1" xfId="0" applyFont="1" applyFill="1" applyBorder="1" applyAlignment="1">
      <alignment vertical="center"/>
    </xf>
    <xf numFmtId="0" fontId="69" fillId="51" borderId="21" xfId="0" applyFont="1" applyFill="1" applyBorder="1" applyAlignment="1">
      <alignment vertical="center"/>
    </xf>
    <xf numFmtId="0" fontId="69" fillId="51" borderId="22" xfId="0" applyFont="1" applyFill="1" applyBorder="1" applyAlignment="1">
      <alignment vertical="center"/>
    </xf>
    <xf numFmtId="0" fontId="72" fillId="38" borderId="19" xfId="0" applyFont="1" applyFill="1" applyBorder="1"/>
    <xf numFmtId="0" fontId="72" fillId="38" borderId="0" xfId="0" applyFont="1" applyFill="1"/>
    <xf numFmtId="0" fontId="67" fillId="42" borderId="28" xfId="0" applyFont="1" applyFill="1" applyBorder="1"/>
    <xf numFmtId="0" fontId="67" fillId="42" borderId="29" xfId="0" applyFont="1" applyFill="1" applyBorder="1"/>
    <xf numFmtId="0" fontId="77" fillId="46" borderId="19" xfId="0" applyFont="1" applyFill="1" applyBorder="1"/>
    <xf numFmtId="0" fontId="77" fillId="46" borderId="0" xfId="0" applyFont="1" applyFill="1"/>
    <xf numFmtId="0" fontId="75" fillId="46" borderId="0" xfId="0" applyFont="1" applyFill="1"/>
    <xf numFmtId="170" fontId="75" fillId="46" borderId="0" xfId="0" applyNumberFormat="1" applyFont="1" applyFill="1" applyAlignment="1">
      <alignment horizontal="center"/>
    </xf>
    <xf numFmtId="49" fontId="75" fillId="0" borderId="19" xfId="0" applyNumberFormat="1" applyFont="1" applyBorder="1"/>
    <xf numFmtId="0" fontId="75" fillId="0" borderId="0" xfId="0" applyFont="1"/>
    <xf numFmtId="49" fontId="75" fillId="52" borderId="19" xfId="0" applyNumberFormat="1" applyFont="1" applyFill="1" applyBorder="1"/>
    <xf numFmtId="0" fontId="75" fillId="52" borderId="0" xfId="0" applyFont="1" applyFill="1"/>
    <xf numFmtId="171" fontId="75" fillId="46" borderId="0" xfId="0" applyNumberFormat="1" applyFont="1" applyFill="1" applyAlignment="1">
      <alignment horizontal="center"/>
    </xf>
    <xf numFmtId="171" fontId="75" fillId="46" borderId="31" xfId="0" applyNumberFormat="1" applyFont="1" applyFill="1" applyBorder="1" applyAlignment="1">
      <alignment horizontal="center"/>
    </xf>
    <xf numFmtId="0" fontId="70" fillId="51" borderId="19" xfId="0" applyFont="1" applyFill="1" applyBorder="1"/>
    <xf numFmtId="0" fontId="70" fillId="51" borderId="0" xfId="0" applyFont="1" applyFill="1"/>
    <xf numFmtId="0" fontId="70" fillId="51" borderId="28" xfId="0" applyFont="1" applyFill="1" applyBorder="1"/>
    <xf numFmtId="0" fontId="70" fillId="51" borderId="29" xfId="0" applyFont="1" applyFill="1" applyBorder="1"/>
    <xf numFmtId="0" fontId="69" fillId="40" borderId="1" xfId="0" applyFont="1" applyFill="1" applyBorder="1"/>
    <xf numFmtId="0" fontId="69" fillId="40" borderId="21" xfId="0" applyFont="1" applyFill="1" applyBorder="1"/>
    <xf numFmtId="0" fontId="69" fillId="48" borderId="21" xfId="0" applyFont="1" applyFill="1" applyBorder="1"/>
    <xf numFmtId="0" fontId="69" fillId="40" borderId="22" xfId="0" applyFont="1" applyFill="1" applyBorder="1"/>
    <xf numFmtId="0" fontId="70" fillId="40" borderId="28" xfId="0" applyFont="1" applyFill="1" applyBorder="1"/>
    <xf numFmtId="0" fontId="70" fillId="40" borderId="29" xfId="0" applyFont="1" applyFill="1" applyBorder="1"/>
    <xf numFmtId="0" fontId="80" fillId="54" borderId="0" xfId="0" applyFont="1" applyFill="1"/>
    <xf numFmtId="0" fontId="61" fillId="0" borderId="0" xfId="0" applyFont="1"/>
    <xf numFmtId="0" fontId="61" fillId="48" borderId="0" xfId="0" applyFont="1" applyFill="1"/>
    <xf numFmtId="0" fontId="75" fillId="0" borderId="0" xfId="0" applyFont="1" applyAlignment="1">
      <alignment horizontal="left" wrapText="1"/>
    </xf>
    <xf numFmtId="0" fontId="75" fillId="53" borderId="0" xfId="0" applyFont="1" applyFill="1" applyAlignment="1">
      <alignment horizontal="left" wrapText="1"/>
    </xf>
    <xf numFmtId="0" fontId="68" fillId="43" borderId="0" xfId="0" applyFont="1" applyFill="1" applyAlignment="1">
      <alignment horizontal="left" indent="1"/>
    </xf>
    <xf numFmtId="0" fontId="68" fillId="43" borderId="31" xfId="0" applyFont="1" applyFill="1" applyBorder="1" applyAlignment="1">
      <alignment horizontal="left" indent="1"/>
    </xf>
    <xf numFmtId="0" fontId="65" fillId="42" borderId="31" xfId="0" applyFont="1" applyFill="1" applyBorder="1" applyAlignment="1">
      <alignment horizontal="left" indent="1"/>
    </xf>
    <xf numFmtId="166" fontId="81" fillId="55" borderId="32" xfId="0" applyNumberFormat="1" applyFont="1" applyFill="1" applyBorder="1" applyAlignment="1">
      <alignment horizontal="center" vertical="center"/>
    </xf>
    <xf numFmtId="166" fontId="81" fillId="55" borderId="33" xfId="0" applyNumberFormat="1" applyFont="1" applyFill="1" applyBorder="1" applyAlignment="1">
      <alignment horizontal="center" vertical="center"/>
    </xf>
    <xf numFmtId="166" fontId="81" fillId="55" borderId="34" xfId="0" applyNumberFormat="1" applyFont="1" applyFill="1" applyBorder="1" applyAlignment="1">
      <alignment horizontal="center" vertical="center"/>
    </xf>
    <xf numFmtId="0" fontId="82" fillId="55" borderId="28" xfId="0" applyFont="1" applyFill="1" applyBorder="1" applyAlignment="1">
      <alignment horizontal="center" vertical="center"/>
    </xf>
    <xf numFmtId="0" fontId="82" fillId="55" borderId="29" xfId="0" applyFont="1" applyFill="1" applyBorder="1" applyAlignment="1">
      <alignment horizontal="center" vertical="center"/>
    </xf>
    <xf numFmtId="0" fontId="82" fillId="55" borderId="30" xfId="0" applyFont="1" applyFill="1" applyBorder="1" applyAlignment="1">
      <alignment horizontal="center" vertical="center"/>
    </xf>
    <xf numFmtId="166" fontId="81" fillId="58" borderId="32" xfId="0" applyNumberFormat="1" applyFont="1" applyFill="1" applyBorder="1" applyAlignment="1">
      <alignment horizontal="center" vertical="center"/>
    </xf>
    <xf numFmtId="166" fontId="81" fillId="58" borderId="33" xfId="0" applyNumberFormat="1" applyFont="1" applyFill="1" applyBorder="1" applyAlignment="1">
      <alignment horizontal="center" vertical="center"/>
    </xf>
    <xf numFmtId="166" fontId="81" fillId="58" borderId="34" xfId="0" applyNumberFormat="1" applyFont="1" applyFill="1" applyBorder="1" applyAlignment="1">
      <alignment horizontal="center" vertical="center"/>
    </xf>
    <xf numFmtId="0" fontId="82" fillId="58" borderId="28" xfId="0" applyFont="1" applyFill="1" applyBorder="1" applyAlignment="1">
      <alignment horizontal="center" vertical="center"/>
    </xf>
    <xf numFmtId="0" fontId="82" fillId="58" borderId="29" xfId="0" applyFont="1" applyFill="1" applyBorder="1" applyAlignment="1">
      <alignment horizontal="center" vertical="center"/>
    </xf>
    <xf numFmtId="0" fontId="82" fillId="58" borderId="30" xfId="0" applyFont="1" applyFill="1" applyBorder="1" applyAlignment="1">
      <alignment horizontal="center" vertical="center"/>
    </xf>
    <xf numFmtId="166" fontId="81" fillId="59" borderId="32" xfId="0" applyNumberFormat="1" applyFont="1" applyFill="1" applyBorder="1" applyAlignment="1">
      <alignment horizontal="center" vertical="center"/>
    </xf>
    <xf numFmtId="166" fontId="81" fillId="59" borderId="33" xfId="0" applyNumberFormat="1" applyFont="1" applyFill="1" applyBorder="1" applyAlignment="1">
      <alignment horizontal="center" vertical="center"/>
    </xf>
    <xf numFmtId="166" fontId="81" fillId="59" borderId="34" xfId="0" applyNumberFormat="1" applyFont="1" applyFill="1" applyBorder="1" applyAlignment="1">
      <alignment horizontal="center" vertical="center"/>
    </xf>
    <xf numFmtId="0" fontId="82" fillId="59" borderId="28" xfId="0" applyFont="1" applyFill="1" applyBorder="1" applyAlignment="1">
      <alignment horizontal="center" vertical="center"/>
    </xf>
    <xf numFmtId="0" fontId="82" fillId="59" borderId="29" xfId="0" applyFont="1" applyFill="1" applyBorder="1" applyAlignment="1">
      <alignment horizontal="center" vertical="center"/>
    </xf>
    <xf numFmtId="0" fontId="82" fillId="59" borderId="30" xfId="0" applyFont="1" applyFill="1" applyBorder="1" applyAlignment="1">
      <alignment horizontal="center" vertical="center"/>
    </xf>
    <xf numFmtId="166" fontId="81" fillId="56" borderId="32" xfId="0" applyNumberFormat="1" applyFont="1" applyFill="1" applyBorder="1" applyAlignment="1">
      <alignment horizontal="center" vertical="center"/>
    </xf>
    <xf numFmtId="166" fontId="81" fillId="56" borderId="33" xfId="0" applyNumberFormat="1" applyFont="1" applyFill="1" applyBorder="1" applyAlignment="1">
      <alignment horizontal="center" vertical="center"/>
    </xf>
    <xf numFmtId="166" fontId="81" fillId="56" borderId="34" xfId="0" applyNumberFormat="1" applyFont="1" applyFill="1" applyBorder="1" applyAlignment="1">
      <alignment horizontal="center" vertical="center"/>
    </xf>
    <xf numFmtId="0" fontId="82" fillId="56" borderId="28" xfId="0" applyFont="1" applyFill="1" applyBorder="1" applyAlignment="1">
      <alignment horizontal="center" vertical="center"/>
    </xf>
    <xf numFmtId="0" fontId="82" fillId="56" borderId="29" xfId="0" applyFont="1" applyFill="1" applyBorder="1" applyAlignment="1">
      <alignment horizontal="center" vertical="center"/>
    </xf>
    <xf numFmtId="0" fontId="82" fillId="56" borderId="30" xfId="0" applyFont="1" applyFill="1" applyBorder="1" applyAlignment="1">
      <alignment horizontal="center" vertical="center"/>
    </xf>
    <xf numFmtId="166" fontId="81" fillId="57" borderId="32" xfId="0" applyNumberFormat="1" applyFont="1" applyFill="1" applyBorder="1" applyAlignment="1">
      <alignment horizontal="center" vertical="center"/>
    </xf>
    <xf numFmtId="166" fontId="81" fillId="57" borderId="33" xfId="0" applyNumberFormat="1" applyFont="1" applyFill="1" applyBorder="1" applyAlignment="1">
      <alignment horizontal="center" vertical="center"/>
    </xf>
    <xf numFmtId="166" fontId="81" fillId="57" borderId="34" xfId="0" applyNumberFormat="1" applyFont="1" applyFill="1" applyBorder="1" applyAlignment="1">
      <alignment horizontal="center" vertical="center"/>
    </xf>
    <xf numFmtId="0" fontId="82" fillId="57" borderId="28" xfId="0" applyFont="1" applyFill="1" applyBorder="1" applyAlignment="1">
      <alignment horizontal="center" vertical="center"/>
    </xf>
    <xf numFmtId="0" fontId="82" fillId="57" borderId="29" xfId="0" applyFont="1" applyFill="1" applyBorder="1" applyAlignment="1">
      <alignment horizontal="center" vertical="center"/>
    </xf>
    <xf numFmtId="0" fontId="82" fillId="57" borderId="30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left" vertical="center"/>
    </xf>
    <xf numFmtId="0" fontId="22" fillId="3" borderId="7" xfId="0" applyFont="1" applyFill="1" applyBorder="1" applyAlignment="1">
      <alignment horizontal="left" vertical="center" wrapText="1"/>
    </xf>
    <xf numFmtId="0" fontId="45" fillId="4" borderId="5" xfId="0" applyFont="1" applyFill="1" applyBorder="1" applyAlignment="1">
      <alignment horizontal="left" vertical="center" wrapText="1"/>
    </xf>
    <xf numFmtId="0" fontId="17" fillId="4" borderId="5" xfId="0" applyFont="1" applyFill="1" applyBorder="1" applyAlignment="1">
      <alignment horizontal="left" vertical="center" wrapText="1"/>
    </xf>
    <xf numFmtId="0" fontId="47" fillId="4" borderId="7" xfId="0" applyFont="1" applyFill="1" applyBorder="1" applyAlignment="1">
      <alignment horizontal="left" vertical="center"/>
    </xf>
    <xf numFmtId="0" fontId="47" fillId="4" borderId="7" xfId="0" applyFont="1" applyFill="1" applyBorder="1" applyAlignment="1">
      <alignment horizontal="left" vertical="center" wrapText="1"/>
    </xf>
    <xf numFmtId="0" fontId="19" fillId="4" borderId="7" xfId="0" applyFont="1" applyFill="1" applyBorder="1" applyAlignment="1">
      <alignment horizontal="left" vertical="center" wrapText="1"/>
    </xf>
    <xf numFmtId="0" fontId="52" fillId="2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left" vertical="center" wrapText="1"/>
    </xf>
    <xf numFmtId="164" fontId="45" fillId="4" borderId="5" xfId="0" applyNumberFormat="1" applyFont="1" applyFill="1" applyBorder="1" applyAlignment="1">
      <alignment horizontal="left" vertical="center" wrapText="1"/>
    </xf>
    <xf numFmtId="164" fontId="17" fillId="4" borderId="5" xfId="0" applyNumberFormat="1" applyFont="1" applyFill="1" applyBorder="1" applyAlignment="1">
      <alignment horizontal="left" vertical="center" wrapText="1"/>
    </xf>
    <xf numFmtId="165" fontId="45" fillId="4" borderId="5" xfId="0" applyNumberFormat="1" applyFont="1" applyFill="1" applyBorder="1" applyAlignment="1">
      <alignment horizontal="left" vertical="center" wrapText="1"/>
    </xf>
    <xf numFmtId="0" fontId="46" fillId="16" borderId="5" xfId="0" applyFont="1" applyFill="1" applyBorder="1" applyAlignment="1">
      <alignment horizontal="left" vertical="center" wrapText="1"/>
    </xf>
    <xf numFmtId="0" fontId="18" fillId="16" borderId="5" xfId="0" applyFont="1" applyFill="1" applyBorder="1" applyAlignment="1">
      <alignment horizontal="left" vertical="center" wrapText="1"/>
    </xf>
    <xf numFmtId="0" fontId="54" fillId="17" borderId="13" xfId="0" applyFont="1" applyFill="1" applyBorder="1" applyAlignment="1">
      <alignment horizontal="center" vertical="center" wrapText="1"/>
    </xf>
    <xf numFmtId="0" fontId="49" fillId="17" borderId="13" xfId="0" applyFont="1" applyFill="1" applyBorder="1" applyAlignment="1">
      <alignment horizontal="center" vertical="center" wrapText="1"/>
    </xf>
    <xf numFmtId="0" fontId="54" fillId="18" borderId="14" xfId="0" applyFont="1" applyFill="1" applyBorder="1" applyAlignment="1">
      <alignment horizontal="center" vertical="center" wrapText="1"/>
    </xf>
    <xf numFmtId="0" fontId="49" fillId="18" borderId="14" xfId="0" applyFont="1" applyFill="1" applyBorder="1" applyAlignment="1">
      <alignment horizontal="center" vertical="center" wrapText="1"/>
    </xf>
    <xf numFmtId="0" fontId="54" fillId="19" borderId="15" xfId="0" applyFont="1" applyFill="1" applyBorder="1" applyAlignment="1">
      <alignment horizontal="center" vertical="center" wrapText="1"/>
    </xf>
    <xf numFmtId="0" fontId="49" fillId="19" borderId="15" xfId="0" applyFont="1" applyFill="1" applyBorder="1" applyAlignment="1">
      <alignment horizontal="center" vertical="center" wrapText="1"/>
    </xf>
    <xf numFmtId="0" fontId="54" fillId="20" borderId="16" xfId="0" applyFont="1" applyFill="1" applyBorder="1" applyAlignment="1">
      <alignment horizontal="center" vertical="center" wrapText="1"/>
    </xf>
    <xf numFmtId="0" fontId="49" fillId="20" borderId="16" xfId="0" applyFont="1" applyFill="1" applyBorder="1" applyAlignment="1">
      <alignment horizontal="center" vertical="center" wrapText="1"/>
    </xf>
    <xf numFmtId="0" fontId="49" fillId="14" borderId="17" xfId="0" applyFont="1" applyFill="1" applyBorder="1" applyAlignment="1">
      <alignment horizontal="center" vertical="center" wrapText="1"/>
    </xf>
    <xf numFmtId="0" fontId="16" fillId="14" borderId="0" xfId="0" applyFont="1" applyFill="1" applyAlignment="1">
      <alignment horizontal="left" vertical="center" wrapText="1"/>
    </xf>
    <xf numFmtId="0" fontId="20" fillId="14" borderId="0" xfId="0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166" fontId="53" fillId="17" borderId="8" xfId="0" applyNumberFormat="1" applyFont="1" applyFill="1" applyBorder="1" applyAlignment="1">
      <alignment horizontal="center" vertical="center" wrapText="1"/>
    </xf>
    <xf numFmtId="166" fontId="21" fillId="17" borderId="8" xfId="0" applyNumberFormat="1" applyFont="1" applyFill="1" applyBorder="1" applyAlignment="1">
      <alignment horizontal="center" vertical="center" wrapText="1"/>
    </xf>
    <xf numFmtId="166" fontId="53" fillId="18" borderId="9" xfId="0" applyNumberFormat="1" applyFont="1" applyFill="1" applyBorder="1" applyAlignment="1">
      <alignment horizontal="center" vertical="center" wrapText="1"/>
    </xf>
    <xf numFmtId="166" fontId="21" fillId="18" borderId="9" xfId="0" applyNumberFormat="1" applyFont="1" applyFill="1" applyBorder="1" applyAlignment="1">
      <alignment horizontal="center" vertical="center" wrapText="1"/>
    </xf>
    <xf numFmtId="166" fontId="53" fillId="19" borderId="10" xfId="0" applyNumberFormat="1" applyFont="1" applyFill="1" applyBorder="1" applyAlignment="1">
      <alignment horizontal="center" vertical="center" wrapText="1"/>
    </xf>
    <xf numFmtId="166" fontId="21" fillId="19" borderId="10" xfId="0" applyNumberFormat="1" applyFont="1" applyFill="1" applyBorder="1" applyAlignment="1">
      <alignment horizontal="center" vertical="center" wrapText="1"/>
    </xf>
    <xf numFmtId="166" fontId="53" fillId="20" borderId="11" xfId="0" applyNumberFormat="1" applyFont="1" applyFill="1" applyBorder="1" applyAlignment="1">
      <alignment horizontal="center" vertical="center" wrapText="1"/>
    </xf>
    <xf numFmtId="166" fontId="21" fillId="20" borderId="11" xfId="0" applyNumberFormat="1" applyFont="1" applyFill="1" applyBorder="1" applyAlignment="1">
      <alignment horizontal="center" vertical="center" wrapText="1"/>
    </xf>
    <xf numFmtId="166" fontId="48" fillId="14" borderId="12" xfId="0" applyNumberFormat="1" applyFont="1" applyFill="1" applyBorder="1" applyAlignment="1">
      <alignment horizontal="center" vertical="center" wrapText="1"/>
    </xf>
    <xf numFmtId="0" fontId="22" fillId="14" borderId="5" xfId="0" applyFont="1" applyFill="1" applyBorder="1" applyAlignment="1">
      <alignment horizontal="center" vertical="center" wrapText="1"/>
    </xf>
    <xf numFmtId="0" fontId="28" fillId="22" borderId="7" xfId="0" applyFont="1" applyFill="1" applyBorder="1" applyAlignment="1">
      <alignment horizontal="left" vertical="center" wrapText="1"/>
    </xf>
    <xf numFmtId="168" fontId="28" fillId="22" borderId="5" xfId="0" applyNumberFormat="1" applyFont="1" applyFill="1" applyBorder="1" applyAlignment="1">
      <alignment horizontal="center" vertical="center" wrapText="1"/>
    </xf>
    <xf numFmtId="9" fontId="29" fillId="22" borderId="7" xfId="0" applyNumberFormat="1" applyFont="1" applyFill="1" applyBorder="1" applyAlignment="1">
      <alignment horizontal="center" vertical="center" wrapText="1"/>
    </xf>
    <xf numFmtId="9" fontId="23" fillId="22" borderId="7" xfId="0" applyNumberFormat="1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29" fillId="21" borderId="18" xfId="0" applyFont="1" applyFill="1" applyBorder="1" applyAlignment="1">
      <alignment horizontal="left" vertical="center" wrapText="1"/>
    </xf>
    <xf numFmtId="0" fontId="30" fillId="7" borderId="18" xfId="0" applyFont="1" applyFill="1" applyBorder="1" applyAlignment="1">
      <alignment horizontal="left" vertical="center" wrapText="1"/>
    </xf>
    <xf numFmtId="0" fontId="50" fillId="4" borderId="18" xfId="0" applyFont="1" applyFill="1" applyBorder="1" applyAlignment="1">
      <alignment horizontal="left" vertical="center" wrapText="1"/>
    </xf>
    <xf numFmtId="0" fontId="22" fillId="2" borderId="5" xfId="0" applyFont="1" applyFill="1" applyBorder="1" applyAlignment="1">
      <alignment horizontal="left" vertical="center" wrapText="1"/>
    </xf>
    <xf numFmtId="168" fontId="22" fillId="2" borderId="5" xfId="0" applyNumberFormat="1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30" fillId="7" borderId="7" xfId="0" applyFont="1" applyFill="1" applyBorder="1" applyAlignment="1">
      <alignment horizontal="left" vertical="center" wrapText="1"/>
    </xf>
    <xf numFmtId="168" fontId="30" fillId="7" borderId="5" xfId="0" applyNumberFormat="1" applyFont="1" applyFill="1" applyBorder="1" applyAlignment="1">
      <alignment horizontal="center" vertical="center" wrapText="1"/>
    </xf>
    <xf numFmtId="9" fontId="31" fillId="7" borderId="7" xfId="0" applyNumberFormat="1" applyFont="1" applyFill="1" applyBorder="1" applyAlignment="1">
      <alignment horizontal="center" vertical="center" wrapText="1"/>
    </xf>
    <xf numFmtId="9" fontId="26" fillId="7" borderId="7" xfId="0" applyNumberFormat="1" applyFont="1" applyFill="1" applyBorder="1" applyAlignment="1">
      <alignment horizontal="center" vertical="center" wrapText="1"/>
    </xf>
    <xf numFmtId="0" fontId="32" fillId="13" borderId="7" xfId="0" applyFont="1" applyFill="1" applyBorder="1" applyAlignment="1">
      <alignment horizontal="left" vertical="center" wrapText="1"/>
    </xf>
    <xf numFmtId="168" fontId="32" fillId="13" borderId="5" xfId="0" applyNumberFormat="1" applyFont="1" applyFill="1" applyBorder="1" applyAlignment="1">
      <alignment horizontal="center" vertical="center" wrapText="1"/>
    </xf>
    <xf numFmtId="9" fontId="33" fillId="13" borderId="7" xfId="0" applyNumberFormat="1" applyFont="1" applyFill="1" applyBorder="1" applyAlignment="1">
      <alignment horizontal="center" vertical="center" wrapText="1"/>
    </xf>
    <xf numFmtId="9" fontId="27" fillId="13" borderId="7" xfId="0" applyNumberFormat="1" applyFont="1" applyFill="1" applyBorder="1" applyAlignment="1">
      <alignment horizontal="center" vertical="center" wrapText="1"/>
    </xf>
    <xf numFmtId="0" fontId="29" fillId="23" borderId="7" xfId="0" applyFont="1" applyFill="1" applyBorder="1" applyAlignment="1">
      <alignment horizontal="left" vertical="center" wrapText="1"/>
    </xf>
    <xf numFmtId="0" fontId="45" fillId="23" borderId="7" xfId="0" applyFont="1" applyFill="1" applyBorder="1" applyAlignment="1">
      <alignment horizontal="left" vertical="center" wrapText="1"/>
    </xf>
    <xf numFmtId="169" fontId="28" fillId="23" borderId="5" xfId="0" applyNumberFormat="1" applyFont="1" applyFill="1" applyBorder="1" applyAlignment="1">
      <alignment horizontal="center" vertical="center" wrapText="1"/>
    </xf>
    <xf numFmtId="9" fontId="29" fillId="23" borderId="7" xfId="0" applyNumberFormat="1" applyFont="1" applyFill="1" applyBorder="1" applyAlignment="1">
      <alignment horizontal="center" vertical="center" wrapText="1"/>
    </xf>
    <xf numFmtId="0" fontId="29" fillId="24" borderId="7" xfId="0" applyFont="1" applyFill="1" applyBorder="1" applyAlignment="1">
      <alignment horizontal="left" vertical="center" wrapText="1"/>
    </xf>
    <xf numFmtId="0" fontId="45" fillId="24" borderId="7" xfId="0" applyFont="1" applyFill="1" applyBorder="1" applyAlignment="1">
      <alignment horizontal="left" vertical="center" wrapText="1"/>
    </xf>
    <xf numFmtId="169" fontId="28" fillId="24" borderId="5" xfId="0" applyNumberFormat="1" applyFont="1" applyFill="1" applyBorder="1" applyAlignment="1">
      <alignment horizontal="center" vertical="center" wrapText="1"/>
    </xf>
    <xf numFmtId="9" fontId="29" fillId="24" borderId="7" xfId="0" applyNumberFormat="1" applyFont="1" applyFill="1" applyBorder="1" applyAlignment="1">
      <alignment horizontal="center" vertical="center" wrapText="1"/>
    </xf>
    <xf numFmtId="0" fontId="28" fillId="23" borderId="7" xfId="0" applyFont="1" applyFill="1" applyBorder="1" applyAlignment="1">
      <alignment horizontal="left" vertical="center" wrapText="1"/>
    </xf>
    <xf numFmtId="0" fontId="31" fillId="26" borderId="7" xfId="0" applyFont="1" applyFill="1" applyBorder="1" applyAlignment="1">
      <alignment horizontal="left" vertical="center" wrapText="1"/>
    </xf>
    <xf numFmtId="0" fontId="45" fillId="26" borderId="7" xfId="0" applyFont="1" applyFill="1" applyBorder="1" applyAlignment="1">
      <alignment horizontal="left" vertical="center" wrapText="1"/>
    </xf>
    <xf numFmtId="169" fontId="30" fillId="26" borderId="5" xfId="0" applyNumberFormat="1" applyFont="1" applyFill="1" applyBorder="1" applyAlignment="1">
      <alignment horizontal="center" vertical="center" wrapText="1"/>
    </xf>
    <xf numFmtId="9" fontId="31" fillId="26" borderId="7" xfId="0" applyNumberFormat="1" applyFont="1" applyFill="1" applyBorder="1" applyAlignment="1">
      <alignment horizontal="center" vertical="center" wrapText="1"/>
    </xf>
    <xf numFmtId="0" fontId="31" fillId="25" borderId="7" xfId="0" applyFont="1" applyFill="1" applyBorder="1" applyAlignment="1">
      <alignment horizontal="left" vertical="center" wrapText="1"/>
    </xf>
    <xf numFmtId="0" fontId="45" fillId="25" borderId="7" xfId="0" applyFont="1" applyFill="1" applyBorder="1" applyAlignment="1">
      <alignment horizontal="left" vertical="center" wrapText="1"/>
    </xf>
    <xf numFmtId="169" fontId="30" fillId="25" borderId="5" xfId="0" applyNumberFormat="1" applyFont="1" applyFill="1" applyBorder="1" applyAlignment="1">
      <alignment horizontal="center" vertical="center" wrapText="1"/>
    </xf>
    <xf numFmtId="9" fontId="31" fillId="25" borderId="7" xfId="0" applyNumberFormat="1" applyFont="1" applyFill="1" applyBorder="1" applyAlignment="1">
      <alignment horizontal="center" vertical="center" wrapText="1"/>
    </xf>
    <xf numFmtId="0" fontId="30" fillId="25" borderId="7" xfId="0" applyFont="1" applyFill="1" applyBorder="1" applyAlignment="1">
      <alignment horizontal="left" vertical="center" wrapText="1"/>
    </xf>
    <xf numFmtId="0" fontId="33" fillId="27" borderId="7" xfId="0" applyFont="1" applyFill="1" applyBorder="1" applyAlignment="1">
      <alignment horizontal="left" vertical="center" wrapText="1"/>
    </xf>
    <xf numFmtId="0" fontId="45" fillId="27" borderId="7" xfId="0" applyFont="1" applyFill="1" applyBorder="1" applyAlignment="1">
      <alignment horizontal="left" vertical="center" wrapText="1"/>
    </xf>
    <xf numFmtId="169" fontId="32" fillId="27" borderId="5" xfId="0" applyNumberFormat="1" applyFont="1" applyFill="1" applyBorder="1" applyAlignment="1">
      <alignment horizontal="center" vertical="center" wrapText="1"/>
    </xf>
    <xf numFmtId="9" fontId="33" fillId="27" borderId="7" xfId="0" applyNumberFormat="1" applyFont="1" applyFill="1" applyBorder="1" applyAlignment="1">
      <alignment horizontal="center" vertical="center" wrapText="1"/>
    </xf>
    <xf numFmtId="0" fontId="33" fillId="28" borderId="7" xfId="0" applyFont="1" applyFill="1" applyBorder="1" applyAlignment="1">
      <alignment horizontal="left" vertical="center" wrapText="1"/>
    </xf>
    <xf numFmtId="0" fontId="45" fillId="28" borderId="7" xfId="0" applyFont="1" applyFill="1" applyBorder="1" applyAlignment="1">
      <alignment horizontal="left" vertical="center" wrapText="1"/>
    </xf>
    <xf numFmtId="169" fontId="32" fillId="28" borderId="5" xfId="0" applyNumberFormat="1" applyFont="1" applyFill="1" applyBorder="1" applyAlignment="1">
      <alignment horizontal="center" vertical="center" wrapText="1"/>
    </xf>
    <xf numFmtId="9" fontId="33" fillId="28" borderId="7" xfId="0" applyNumberFormat="1" applyFont="1" applyFill="1" applyBorder="1" applyAlignment="1">
      <alignment horizontal="center" vertical="center" wrapText="1"/>
    </xf>
    <xf numFmtId="0" fontId="32" fillId="27" borderId="7" xfId="0" applyFont="1" applyFill="1" applyBorder="1" applyAlignment="1">
      <alignment horizontal="left" vertical="center" wrapText="1"/>
    </xf>
    <xf numFmtId="0" fontId="16" fillId="29" borderId="0" xfId="0" applyFont="1" applyFill="1" applyAlignment="1">
      <alignment horizontal="left" vertical="center" wrapText="1"/>
    </xf>
    <xf numFmtId="0" fontId="20" fillId="29" borderId="0" xfId="0" applyFont="1" applyFill="1" applyAlignment="1">
      <alignment horizontal="left" vertical="center" wrapText="1"/>
    </xf>
    <xf numFmtId="0" fontId="22" fillId="29" borderId="5" xfId="0" applyFont="1" applyFill="1" applyBorder="1" applyAlignment="1">
      <alignment horizontal="center" vertical="center" wrapText="1"/>
    </xf>
    <xf numFmtId="0" fontId="55" fillId="31" borderId="5" xfId="0" applyFont="1" applyFill="1" applyBorder="1" applyAlignment="1">
      <alignment horizontal="center" vertical="center" wrapText="1"/>
    </xf>
    <xf numFmtId="0" fontId="34" fillId="30" borderId="7" xfId="0" applyFont="1" applyFill="1" applyBorder="1" applyAlignment="1">
      <alignment horizontal="left" vertical="center" wrapText="1"/>
    </xf>
    <xf numFmtId="0" fontId="55" fillId="30" borderId="5" xfId="0" applyFont="1" applyFill="1" applyBorder="1" applyAlignment="1">
      <alignment horizontal="center" vertical="center" wrapText="1"/>
    </xf>
    <xf numFmtId="0" fontId="22" fillId="29" borderId="5" xfId="0" applyFont="1" applyFill="1" applyBorder="1" applyAlignment="1">
      <alignment horizontal="left" vertical="center" wrapText="1"/>
    </xf>
    <xf numFmtId="0" fontId="56" fillId="2" borderId="4" xfId="0" applyFont="1" applyFill="1" applyBorder="1" applyAlignment="1">
      <alignment horizontal="left" vertical="center" wrapText="1"/>
    </xf>
    <xf numFmtId="0" fontId="51" fillId="34" borderId="0" xfId="0" applyFont="1" applyFill="1" applyAlignment="1">
      <alignment horizontal="left" vertical="center" wrapText="1"/>
    </xf>
    <xf numFmtId="0" fontId="35" fillId="34" borderId="0" xfId="0" applyFont="1" applyFill="1" applyAlignment="1">
      <alignment horizontal="left" vertical="center" wrapText="1"/>
    </xf>
    <xf numFmtId="0" fontId="1" fillId="2" borderId="19" xfId="0" applyFont="1" applyFill="1" applyBorder="1" applyAlignment="1">
      <alignment horizontal="center" vertical="center"/>
    </xf>
    <xf numFmtId="0" fontId="39" fillId="4" borderId="19" xfId="0" applyFont="1" applyFill="1" applyBorder="1" applyAlignment="1">
      <alignment horizontal="left" vertical="center" wrapText="1"/>
    </xf>
    <xf numFmtId="0" fontId="39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2">
    <dxf>
      <fill>
        <patternFill>
          <bgColor rgb="FFBDD7EE"/>
        </patternFill>
      </fill>
    </dxf>
    <dxf>
      <fill>
        <patternFill>
          <bgColor rgb="FFFCE4D6"/>
        </patternFill>
      </fill>
    </dxf>
    <dxf>
      <fill>
        <patternFill>
          <bgColor rgb="FFFFCCCC"/>
        </patternFill>
      </fill>
    </dxf>
    <dxf>
      <fill>
        <patternFill>
          <bgColor rgb="FFE2EFDA"/>
        </patternFill>
      </fill>
    </dxf>
    <dxf>
      <fill>
        <patternFill>
          <bgColor rgb="FFFFCCCC"/>
        </patternFill>
      </fill>
    </dxf>
    <dxf>
      <fill>
        <patternFill>
          <bgColor rgb="FF70AD47"/>
        </patternFill>
      </fill>
    </dxf>
    <dxf>
      <fill>
        <patternFill>
          <bgColor rgb="FF00B050"/>
        </patternFill>
      </fill>
    </dxf>
    <dxf>
      <fill>
        <patternFill>
          <bgColor rgb="FFFF7C80"/>
        </patternFill>
      </fill>
    </dxf>
    <dxf>
      <fill>
        <patternFill>
          <bgColor rgb="FFFF5050"/>
        </patternFill>
      </fill>
    </dxf>
    <dxf>
      <fill>
        <patternFill>
          <bgColor rgb="FFFFCCCC"/>
        </patternFill>
      </fill>
    </dxf>
    <dxf>
      <fill>
        <patternFill>
          <bgColor rgb="FFE2EFDA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2F2F2"/>
      <rgbColor rgb="FF0000FF"/>
      <rgbColor rgb="FFFCE4D6"/>
      <rgbColor rgb="FFF5F5F5"/>
      <rgbColor rgb="FFE8F7F5"/>
      <rgbColor rgb="FF9C0006"/>
      <rgbColor rgb="FF006100"/>
      <rgbColor rgb="FF006064"/>
      <rgbColor rgb="FF1B5E20"/>
      <rgbColor rgb="FFF8FAFF"/>
      <rgbColor rgb="FF008080"/>
      <rgbColor rgb="FFCCCCCC"/>
      <rgbColor rgb="FF888888"/>
      <rgbColor rgb="FFC8E6C9"/>
      <rgbColor rgb="FF2F5496"/>
      <rgbColor rgb="FFFFF8F0"/>
      <rgbColor rgb="FFD4F0EA"/>
      <rgbColor rgb="FF660066"/>
      <rgbColor rgb="FFEDE7F6"/>
      <rgbColor rgb="FF2E75B6"/>
      <rgbColor rgb="FFBDD7EE"/>
      <rgbColor rgb="FF000080"/>
      <rgbColor rgb="FFF0F5FF"/>
      <rgbColor rgb="FFE2EFDA"/>
      <rgbColor rgb="FFE8F0FE"/>
      <rgbColor rgb="FF800080"/>
      <rgbColor rgb="FF800000"/>
      <rgbColor rgb="FF006666"/>
      <rgbColor rgb="FF0000FF"/>
      <rgbColor rgb="FFEEF2FA"/>
      <rgbColor rgb="FFE0F2F1"/>
      <rgbColor rgb="FFC6EFCE"/>
      <rgbColor rgb="FFFFF0E0"/>
      <rgbColor rgb="FFB2DFDB"/>
      <rgbColor rgb="FFFFC7CE"/>
      <rgbColor rgb="FFD9D9D9"/>
      <rgbColor rgb="FFFFCCCC"/>
      <rgbColor rgb="FF4472C4"/>
      <rgbColor rgb="FF00B050"/>
      <rgbColor rgb="FF70AD47"/>
      <rgbColor rgb="FFFFD966"/>
      <rgbColor rgb="FFEAEEF5"/>
      <rgbColor rgb="FFC55A11"/>
      <rgbColor rgb="FF595959"/>
      <rgbColor rgb="FFAAAAAA"/>
      <rgbColor rgb="FF1F3864"/>
      <rgbColor rgb="FF2E7D32"/>
      <rgbColor rgb="FF004D40"/>
      <rgbColor rgb="FF5D4037"/>
      <rgbColor rgb="FFEEF4FF"/>
      <rgbColor rgb="FFF3EDFF"/>
      <rgbColor rgb="FF4527A0"/>
      <rgbColor rgb="FF1E3A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050"/>
      <color rgb="FFFF7C8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257040</xdr:colOff>
      <xdr:row>2</xdr:row>
      <xdr:rowOff>0</xdr:rowOff>
    </xdr:from>
    <xdr:to>
      <xdr:col>11</xdr:col>
      <xdr:colOff>1542600</xdr:colOff>
      <xdr:row>5</xdr:row>
      <xdr:rowOff>210240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22589" t="29232" r="23258" b="28898"/>
        <a:stretch/>
      </xdr:blipFill>
      <xdr:spPr>
        <a:xfrm>
          <a:off x="9753480" y="600120"/>
          <a:ext cx="2222280" cy="838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0D1821-DE9F-4AC1-85C9-FFC48E63105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15e725f-0ed3-4867-b7bb-307075f5f134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6"/>
  <sheetViews>
    <sheetView showGridLines="0" topLeftCell="A20" zoomScaleNormal="100" workbookViewId="0">
      <selection activeCell="C25" sqref="C25"/>
    </sheetView>
  </sheetViews>
  <sheetFormatPr defaultColWidth="8.7109375" defaultRowHeight="15" x14ac:dyDescent="0.25"/>
  <cols>
    <col min="1" max="1" width="3" customWidth="1"/>
    <col min="2" max="2" width="30.28515625" customWidth="1"/>
    <col min="3" max="3" width="161.85546875" customWidth="1"/>
    <col min="4" max="4" width="3" customWidth="1"/>
  </cols>
  <sheetData>
    <row r="1" spans="2:3" ht="9.75" customHeight="1" x14ac:dyDescent="0.25"/>
    <row r="2" spans="2:3" ht="45" customHeight="1" x14ac:dyDescent="0.25">
      <c r="B2" s="138" t="s">
        <v>0</v>
      </c>
      <c r="C2" s="138"/>
    </row>
    <row r="3" spans="2:3" ht="7.5" customHeight="1" x14ac:dyDescent="0.25"/>
    <row r="4" spans="2:3" ht="19.5" customHeight="1" x14ac:dyDescent="0.25">
      <c r="B4" s="137" t="s">
        <v>1</v>
      </c>
      <c r="C4" s="137"/>
    </row>
    <row r="5" spans="2:3" ht="27.75" customHeight="1" x14ac:dyDescent="0.25">
      <c r="B5" s="1" t="s">
        <v>2</v>
      </c>
      <c r="C5" s="2" t="s">
        <v>3</v>
      </c>
    </row>
    <row r="6" spans="2:3" ht="27.75" customHeight="1" x14ac:dyDescent="0.25">
      <c r="B6" s="1" t="s">
        <v>4</v>
      </c>
      <c r="C6" s="2"/>
    </row>
    <row r="7" spans="2:3" ht="27.75" customHeight="1" x14ac:dyDescent="0.25">
      <c r="B7" s="1" t="s">
        <v>5</v>
      </c>
      <c r="C7" s="2" t="s">
        <v>6</v>
      </c>
    </row>
    <row r="8" spans="2:3" ht="7.5" customHeight="1" x14ac:dyDescent="0.25"/>
    <row r="9" spans="2:3" ht="19.5" customHeight="1" x14ac:dyDescent="0.25">
      <c r="B9" s="137" t="s">
        <v>7</v>
      </c>
      <c r="C9" s="137"/>
    </row>
    <row r="10" spans="2:3" ht="27.75" customHeight="1" x14ac:dyDescent="0.25">
      <c r="B10" s="1" t="s">
        <v>8</v>
      </c>
      <c r="C10" s="2" t="s">
        <v>9</v>
      </c>
    </row>
    <row r="11" spans="2:3" ht="27.75" customHeight="1" x14ac:dyDescent="0.25">
      <c r="B11" s="1" t="s">
        <v>10</v>
      </c>
      <c r="C11" s="2" t="s">
        <v>11</v>
      </c>
    </row>
    <row r="12" spans="2:3" ht="27.75" customHeight="1" x14ac:dyDescent="0.25">
      <c r="B12" s="1" t="s">
        <v>12</v>
      </c>
      <c r="C12" s="2" t="s">
        <v>13</v>
      </c>
    </row>
    <row r="13" spans="2:3" ht="27.75" customHeight="1" x14ac:dyDescent="0.25">
      <c r="B13" s="1" t="s">
        <v>14</v>
      </c>
      <c r="C13" s="2" t="s">
        <v>15</v>
      </c>
    </row>
    <row r="14" spans="2:3" ht="27.75" customHeight="1" x14ac:dyDescent="0.25">
      <c r="B14" s="1" t="s">
        <v>16</v>
      </c>
      <c r="C14" s="2" t="s">
        <v>17</v>
      </c>
    </row>
    <row r="15" spans="2:3" ht="27.75" customHeight="1" x14ac:dyDescent="0.25">
      <c r="B15" s="1" t="s">
        <v>18</v>
      </c>
      <c r="C15" s="2" t="s">
        <v>19</v>
      </c>
    </row>
    <row r="16" spans="2:3" ht="7.5" customHeight="1" x14ac:dyDescent="0.25"/>
    <row r="17" spans="2:3" ht="19.5" customHeight="1" x14ac:dyDescent="0.25">
      <c r="B17" s="137" t="s">
        <v>20</v>
      </c>
      <c r="C17" s="137"/>
    </row>
    <row r="18" spans="2:3" ht="27.75" customHeight="1" x14ac:dyDescent="0.25">
      <c r="B18" s="1" t="s">
        <v>21</v>
      </c>
      <c r="C18" s="2" t="s">
        <v>22</v>
      </c>
    </row>
    <row r="19" spans="2:3" ht="27.75" customHeight="1" x14ac:dyDescent="0.25">
      <c r="B19" s="1" t="s">
        <v>23</v>
      </c>
      <c r="C19" s="2" t="s">
        <v>24</v>
      </c>
    </row>
    <row r="20" spans="2:3" ht="27.75" customHeight="1" x14ac:dyDescent="0.25">
      <c r="B20" s="1" t="s">
        <v>25</v>
      </c>
      <c r="C20" s="2" t="s">
        <v>26</v>
      </c>
    </row>
    <row r="21" spans="2:3" ht="7.5" customHeight="1" x14ac:dyDescent="0.25"/>
    <row r="22" spans="2:3" ht="19.5" customHeight="1" x14ac:dyDescent="0.25">
      <c r="B22" s="137" t="s">
        <v>27</v>
      </c>
      <c r="C22" s="137"/>
    </row>
    <row r="23" spans="2:3" ht="27.75" customHeight="1" x14ac:dyDescent="0.25">
      <c r="B23" s="1" t="s">
        <v>28</v>
      </c>
      <c r="C23" s="2" t="s">
        <v>29</v>
      </c>
    </row>
    <row r="24" spans="2:3" ht="27.75" customHeight="1" x14ac:dyDescent="0.25">
      <c r="B24" s="1" t="s">
        <v>30</v>
      </c>
      <c r="C24" s="2" t="s">
        <v>31</v>
      </c>
    </row>
    <row r="25" spans="2:3" ht="27.75" customHeight="1" x14ac:dyDescent="0.25">
      <c r="B25" s="1" t="s">
        <v>32</v>
      </c>
      <c r="C25" s="2" t="s">
        <v>33</v>
      </c>
    </row>
    <row r="26" spans="2:3" ht="27.75" customHeight="1" x14ac:dyDescent="0.25">
      <c r="B26" s="1" t="s">
        <v>34</v>
      </c>
      <c r="C26" s="2" t="s">
        <v>35</v>
      </c>
    </row>
    <row r="27" spans="2:3" ht="7.5" customHeight="1" x14ac:dyDescent="0.25"/>
    <row r="28" spans="2:3" ht="19.5" customHeight="1" x14ac:dyDescent="0.25">
      <c r="B28" s="137" t="s">
        <v>36</v>
      </c>
      <c r="C28" s="137"/>
    </row>
    <row r="29" spans="2:3" ht="27.75" customHeight="1" x14ac:dyDescent="0.25">
      <c r="B29" s="1" t="s">
        <v>37</v>
      </c>
      <c r="C29" s="2" t="s">
        <v>38</v>
      </c>
    </row>
    <row r="30" spans="2:3" ht="27.75" customHeight="1" x14ac:dyDescent="0.25">
      <c r="B30" s="1" t="s">
        <v>39</v>
      </c>
      <c r="C30" s="2" t="s">
        <v>40</v>
      </c>
    </row>
    <row r="31" spans="2:3" ht="27.75" customHeight="1" x14ac:dyDescent="0.25">
      <c r="B31" s="1" t="s">
        <v>41</v>
      </c>
      <c r="C31" s="2" t="s">
        <v>42</v>
      </c>
    </row>
    <row r="32" spans="2:3" ht="15" hidden="1" customHeight="1" x14ac:dyDescent="0.25"/>
    <row r="33" spans="2:3" ht="19.5" customHeight="1" x14ac:dyDescent="0.25">
      <c r="B33" s="137" t="s">
        <v>43</v>
      </c>
      <c r="C33" s="137"/>
    </row>
    <row r="34" spans="2:3" ht="27.75" customHeight="1" x14ac:dyDescent="0.25">
      <c r="B34" s="3" t="s">
        <v>44</v>
      </c>
      <c r="C34" s="2" t="s">
        <v>45</v>
      </c>
    </row>
    <row r="35" spans="2:3" ht="27.75" customHeight="1" x14ac:dyDescent="0.25">
      <c r="B35" s="4" t="s">
        <v>46</v>
      </c>
      <c r="C35" s="2" t="s">
        <v>47</v>
      </c>
    </row>
    <row r="36" spans="2:3" ht="27.75" customHeight="1" x14ac:dyDescent="0.25">
      <c r="B36" s="1" t="s">
        <v>48</v>
      </c>
      <c r="C36" s="2" t="s">
        <v>49</v>
      </c>
    </row>
  </sheetData>
  <mergeCells count="7">
    <mergeCell ref="B28:C28"/>
    <mergeCell ref="B33:C33"/>
    <mergeCell ref="B2:C2"/>
    <mergeCell ref="B4:C4"/>
    <mergeCell ref="B9:C9"/>
    <mergeCell ref="B17:C17"/>
    <mergeCell ref="B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"/>
  <sheetViews>
    <sheetView showGridLines="0" tabSelected="1" topLeftCell="A5" zoomScale="115" zoomScaleNormal="115" workbookViewId="0">
      <selection activeCell="K24" sqref="K24"/>
    </sheetView>
  </sheetViews>
  <sheetFormatPr defaultColWidth="8.7109375" defaultRowHeight="15" x14ac:dyDescent="0.25"/>
  <cols>
    <col min="1" max="1" width="2" customWidth="1"/>
    <col min="2" max="2" width="20" customWidth="1"/>
    <col min="3" max="3" width="21" customWidth="1"/>
    <col min="4" max="4" width="12" customWidth="1"/>
    <col min="5" max="11" width="13.28515625" customWidth="1"/>
    <col min="12" max="12" width="40" customWidth="1"/>
    <col min="13" max="13" width="10" customWidth="1"/>
    <col min="14" max="14" width="12" customWidth="1"/>
    <col min="15" max="15" width="2" customWidth="1"/>
    <col min="21" max="21" width="13.85546875" customWidth="1"/>
  </cols>
  <sheetData>
    <row r="1" spans="1:19" ht="7.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39.75" customHeight="1" x14ac:dyDescent="0.25">
      <c r="A2" s="5"/>
      <c r="B2" s="154" t="s">
        <v>50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6"/>
      <c r="O2" s="5"/>
      <c r="P2" s="5"/>
      <c r="Q2" s="5"/>
      <c r="R2" s="5"/>
      <c r="S2" s="5"/>
    </row>
    <row r="3" spans="1:19" ht="6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21.75" customHeight="1" x14ac:dyDescent="0.25">
      <c r="A4" s="5"/>
      <c r="B4" s="6" t="s">
        <v>51</v>
      </c>
      <c r="C4" s="145" t="s">
        <v>52</v>
      </c>
      <c r="D4" s="145"/>
      <c r="E4" s="6" t="s">
        <v>53</v>
      </c>
      <c r="F4" s="157">
        <v>46111</v>
      </c>
      <c r="G4" s="157"/>
      <c r="H4" s="157"/>
      <c r="I4" s="5"/>
      <c r="J4" s="5"/>
      <c r="K4" s="5"/>
      <c r="O4" s="5"/>
      <c r="P4" s="5"/>
      <c r="Q4" s="5"/>
      <c r="R4" s="5"/>
      <c r="S4" s="5"/>
    </row>
    <row r="5" spans="1:19" ht="21.75" customHeight="1" x14ac:dyDescent="0.25">
      <c r="A5" s="5"/>
      <c r="B5" s="6" t="s">
        <v>54</v>
      </c>
      <c r="C5" s="158">
        <v>1</v>
      </c>
      <c r="D5" s="158"/>
      <c r="E5" s="6" t="s">
        <v>55</v>
      </c>
      <c r="F5" s="159" t="s">
        <v>193</v>
      </c>
      <c r="G5" s="159"/>
      <c r="H5" s="159"/>
      <c r="I5" s="5"/>
      <c r="J5" s="5"/>
      <c r="K5" s="5"/>
      <c r="O5" s="5"/>
      <c r="P5" s="5"/>
      <c r="Q5" s="5"/>
      <c r="R5" s="5"/>
      <c r="S5" s="5"/>
    </row>
    <row r="6" spans="1:19" ht="21.75" customHeight="1" thickBot="1" x14ac:dyDescent="0.3">
      <c r="A6" s="5"/>
      <c r="B6" s="6" t="s">
        <v>57</v>
      </c>
      <c r="C6" s="145" t="s">
        <v>58</v>
      </c>
      <c r="D6" s="145"/>
      <c r="E6" s="6" t="s">
        <v>59</v>
      </c>
      <c r="F6" s="145"/>
      <c r="G6" s="145"/>
      <c r="H6" s="145"/>
      <c r="I6" s="5"/>
      <c r="J6" s="5"/>
      <c r="K6" s="5"/>
      <c r="O6" s="5"/>
      <c r="P6" s="5"/>
      <c r="Q6" s="5"/>
      <c r="R6" s="5"/>
      <c r="S6" s="5"/>
    </row>
    <row r="7" spans="1:19" ht="21.75" customHeight="1" thickBot="1" x14ac:dyDescent="0.3">
      <c r="A7" s="5"/>
      <c r="B7" s="6" t="s">
        <v>60</v>
      </c>
      <c r="C7" s="146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8"/>
      <c r="O7" s="5"/>
      <c r="P7" s="5"/>
      <c r="Q7" s="5"/>
      <c r="R7" s="5"/>
      <c r="S7" s="5"/>
    </row>
    <row r="8" spans="1:19" ht="7.5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15" customHeight="1" x14ac:dyDescent="0.25">
      <c r="A9" s="5"/>
      <c r="B9" s="149" t="s">
        <v>61</v>
      </c>
      <c r="C9" s="149"/>
      <c r="D9" s="150">
        <f>'📊 TIL Summary'!C5</f>
        <v>843.25</v>
      </c>
      <c r="E9" s="150"/>
      <c r="F9" s="149" t="s">
        <v>62</v>
      </c>
      <c r="G9" s="149"/>
      <c r="H9" s="149"/>
      <c r="I9" s="151">
        <f>M30</f>
        <v>0</v>
      </c>
      <c r="J9" s="151"/>
      <c r="K9" s="152" t="s">
        <v>63</v>
      </c>
      <c r="L9" s="152"/>
      <c r="M9" s="153">
        <f>D9+I9-N29</f>
        <v>823.25</v>
      </c>
      <c r="N9" s="153"/>
      <c r="O9" s="5"/>
      <c r="P9" s="5"/>
      <c r="Q9" s="5"/>
      <c r="R9" s="5"/>
      <c r="S9" s="5"/>
    </row>
    <row r="10" spans="1:19" ht="15" customHeight="1" x14ac:dyDescent="0.25">
      <c r="A10" s="5"/>
      <c r="B10" s="144" t="s">
        <v>64</v>
      </c>
      <c r="C10" s="144"/>
      <c r="D10" s="140">
        <f>'🏖 Vacation Summary'!C13</f>
        <v>48</v>
      </c>
      <c r="E10" s="140"/>
      <c r="F10" s="144" t="s">
        <v>65</v>
      </c>
      <c r="G10" s="144"/>
      <c r="H10" s="144"/>
      <c r="I10" s="140">
        <f>SUMIF(C14:C28,"Vacation Hours",M14:M28)</f>
        <v>0</v>
      </c>
      <c r="J10" s="140"/>
      <c r="K10" s="144" t="s">
        <v>66</v>
      </c>
      <c r="L10" s="144"/>
      <c r="M10" s="140">
        <f>D10-I10</f>
        <v>48</v>
      </c>
      <c r="N10" s="140"/>
      <c r="O10" s="5"/>
      <c r="P10" s="5"/>
      <c r="Q10" s="5"/>
      <c r="R10" s="5"/>
      <c r="S10" s="5"/>
    </row>
    <row r="11" spans="1:19" ht="4.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ht="31.5" customHeight="1" x14ac:dyDescent="0.25">
      <c r="A12" s="5"/>
      <c r="B12" s="7" t="s">
        <v>67</v>
      </c>
      <c r="C12" s="7" t="s">
        <v>68</v>
      </c>
      <c r="D12" s="7" t="s">
        <v>69</v>
      </c>
      <c r="E12" s="7" t="s">
        <v>70</v>
      </c>
      <c r="F12" s="7" t="s">
        <v>71</v>
      </c>
      <c r="G12" s="7" t="s">
        <v>72</v>
      </c>
      <c r="H12" s="7" t="s">
        <v>73</v>
      </c>
      <c r="I12" s="7" t="s">
        <v>74</v>
      </c>
      <c r="J12" s="7" t="s">
        <v>75</v>
      </c>
      <c r="K12" s="7" t="s">
        <v>76</v>
      </c>
      <c r="L12" s="7" t="s">
        <v>77</v>
      </c>
      <c r="M12" s="7" t="s">
        <v>78</v>
      </c>
      <c r="N12" s="7" t="s">
        <v>79</v>
      </c>
      <c r="O12" s="5"/>
      <c r="P12" s="5"/>
      <c r="Q12" s="5"/>
      <c r="R12" s="5"/>
      <c r="S12" s="5"/>
    </row>
    <row r="13" spans="1:19" ht="18" customHeight="1" x14ac:dyDescent="0.25">
      <c r="A13" s="5"/>
      <c r="B13" s="141" t="s">
        <v>80</v>
      </c>
      <c r="C13" s="141"/>
      <c r="D13" s="141"/>
      <c r="E13" s="8">
        <f>F4</f>
        <v>46111</v>
      </c>
      <c r="F13" s="8">
        <f>F4+1</f>
        <v>46112</v>
      </c>
      <c r="G13" s="8">
        <f>F4+2</f>
        <v>46113</v>
      </c>
      <c r="H13" s="8">
        <f>F4+3</f>
        <v>46114</v>
      </c>
      <c r="I13" s="8">
        <f>F4+4</f>
        <v>46115</v>
      </c>
      <c r="J13" s="8">
        <f>F4+5</f>
        <v>46116</v>
      </c>
      <c r="K13" s="8">
        <f>F4+6</f>
        <v>46117</v>
      </c>
      <c r="L13" s="9"/>
      <c r="M13" s="9"/>
      <c r="N13" s="9"/>
      <c r="O13" s="5"/>
      <c r="P13" s="5"/>
      <c r="Q13" s="5"/>
      <c r="R13" s="5"/>
      <c r="S13" s="5"/>
    </row>
    <row r="14" spans="1:19" ht="25.5" customHeight="1" x14ac:dyDescent="0.25">
      <c r="A14" s="5"/>
      <c r="B14" s="10" t="s">
        <v>164</v>
      </c>
      <c r="C14" s="10" t="s">
        <v>191</v>
      </c>
      <c r="D14" s="10"/>
      <c r="E14" s="61"/>
      <c r="F14" s="61">
        <v>20</v>
      </c>
      <c r="G14" s="61"/>
      <c r="H14" s="61"/>
      <c r="I14" s="61"/>
      <c r="J14" s="61"/>
      <c r="K14" s="61"/>
      <c r="L14" s="10" t="s">
        <v>213</v>
      </c>
      <c r="M14" s="12">
        <f t="shared" ref="M14:M28" si="0">IFERROR(SUM(E14:K14),0)</f>
        <v>20</v>
      </c>
      <c r="N14" s="13">
        <f t="shared" ref="N14:N28" si="1">IF(OR(C14="Overtime Taken", C14="TIL Payout"), M14, 0)</f>
        <v>20</v>
      </c>
      <c r="O14" s="5"/>
      <c r="P14" s="5"/>
      <c r="Q14" s="5"/>
      <c r="R14" s="5"/>
      <c r="S14" s="5"/>
    </row>
    <row r="15" spans="1:19" ht="25.5" customHeight="1" x14ac:dyDescent="0.25">
      <c r="A15" s="5"/>
      <c r="B15" s="10" t="s">
        <v>186</v>
      </c>
      <c r="C15" s="10" t="s">
        <v>190</v>
      </c>
      <c r="D15" s="10">
        <v>2026125</v>
      </c>
      <c r="E15" s="61">
        <v>8</v>
      </c>
      <c r="F15" s="61"/>
      <c r="G15" s="61"/>
      <c r="H15" s="61"/>
      <c r="I15" s="61"/>
      <c r="J15" s="61"/>
      <c r="K15" s="61"/>
      <c r="L15" s="10" t="s">
        <v>214</v>
      </c>
      <c r="M15" s="12">
        <f t="shared" si="0"/>
        <v>8</v>
      </c>
      <c r="N15" s="14">
        <f t="shared" si="1"/>
        <v>0</v>
      </c>
      <c r="O15" s="5"/>
      <c r="P15" s="5"/>
      <c r="Q15" s="5"/>
      <c r="R15" s="5"/>
      <c r="S15" s="5"/>
    </row>
    <row r="16" spans="1:19" ht="25.5" customHeight="1" x14ac:dyDescent="0.25">
      <c r="A16" s="5"/>
      <c r="B16" s="10" t="s">
        <v>164</v>
      </c>
      <c r="C16" s="10" t="s">
        <v>209</v>
      </c>
      <c r="D16" s="10"/>
      <c r="E16" s="61"/>
      <c r="F16" s="61"/>
      <c r="G16" s="61">
        <v>1</v>
      </c>
      <c r="H16" s="61"/>
      <c r="I16" s="61"/>
      <c r="J16" s="61"/>
      <c r="K16" s="61"/>
      <c r="L16" s="10" t="s">
        <v>215</v>
      </c>
      <c r="M16" s="12">
        <f t="shared" si="0"/>
        <v>1</v>
      </c>
      <c r="N16" s="13">
        <f t="shared" si="1"/>
        <v>0</v>
      </c>
      <c r="O16" s="5"/>
      <c r="P16" s="5"/>
      <c r="Q16" s="5"/>
      <c r="R16" s="5"/>
      <c r="S16" s="5"/>
    </row>
    <row r="17" spans="1:19" ht="25.5" customHeight="1" x14ac:dyDescent="0.25">
      <c r="A17" s="5"/>
      <c r="B17" s="10" t="s">
        <v>194</v>
      </c>
      <c r="C17" s="10" t="s">
        <v>210</v>
      </c>
      <c r="D17" s="10"/>
      <c r="E17" s="61"/>
      <c r="F17" s="61">
        <v>8</v>
      </c>
      <c r="G17" s="61">
        <v>7</v>
      </c>
      <c r="H17" s="61">
        <v>6</v>
      </c>
      <c r="I17" s="61"/>
      <c r="J17" s="61"/>
      <c r="K17" s="61"/>
      <c r="L17" s="10" t="s">
        <v>216</v>
      </c>
      <c r="M17" s="12">
        <f t="shared" si="0"/>
        <v>21</v>
      </c>
      <c r="N17" s="14">
        <f t="shared" si="1"/>
        <v>0</v>
      </c>
      <c r="O17" s="5"/>
      <c r="P17" s="5"/>
      <c r="Q17" s="5"/>
      <c r="R17" s="5"/>
      <c r="S17" s="5"/>
    </row>
    <row r="18" spans="1:19" ht="25.5" customHeight="1" x14ac:dyDescent="0.25">
      <c r="A18" s="5"/>
      <c r="B18" s="10" t="s">
        <v>186</v>
      </c>
      <c r="C18" s="10" t="s">
        <v>198</v>
      </c>
      <c r="D18" s="10">
        <v>2026125</v>
      </c>
      <c r="E18" s="61"/>
      <c r="F18" s="61"/>
      <c r="G18" s="61"/>
      <c r="H18" s="61">
        <v>2</v>
      </c>
      <c r="I18" s="61"/>
      <c r="J18" s="61"/>
      <c r="K18" s="61"/>
      <c r="L18" s="10" t="s">
        <v>217</v>
      </c>
      <c r="M18" s="12">
        <f>IFERROR(SUM(E18:K18),0)</f>
        <v>2</v>
      </c>
      <c r="N18" s="13">
        <f t="shared" si="1"/>
        <v>0</v>
      </c>
      <c r="O18" s="5"/>
      <c r="P18" s="5"/>
      <c r="Q18" s="5"/>
      <c r="R18" s="5"/>
      <c r="S18" s="5"/>
    </row>
    <row r="19" spans="1:19" ht="25.5" customHeight="1" x14ac:dyDescent="0.25">
      <c r="A19" s="5"/>
      <c r="B19" s="10" t="s">
        <v>164</v>
      </c>
      <c r="C19" s="10" t="s">
        <v>203</v>
      </c>
      <c r="D19" s="10"/>
      <c r="E19" s="61"/>
      <c r="F19" s="61"/>
      <c r="G19" s="61"/>
      <c r="H19" s="61"/>
      <c r="I19" s="61">
        <v>8</v>
      </c>
      <c r="J19" s="61"/>
      <c r="K19" s="61"/>
      <c r="L19" s="10" t="s">
        <v>218</v>
      </c>
      <c r="M19" s="12">
        <f t="shared" si="0"/>
        <v>8</v>
      </c>
      <c r="N19" s="14">
        <f t="shared" si="1"/>
        <v>0</v>
      </c>
      <c r="O19" s="5"/>
      <c r="P19" s="5"/>
      <c r="Q19" s="5"/>
      <c r="R19" s="5"/>
      <c r="S19" s="5"/>
    </row>
    <row r="20" spans="1:19" ht="25.5" customHeight="1" x14ac:dyDescent="0.25">
      <c r="A20" s="5"/>
      <c r="B20" s="10"/>
      <c r="C20" s="10"/>
      <c r="D20" s="10"/>
      <c r="E20" s="61"/>
      <c r="F20" s="61"/>
      <c r="G20" s="61"/>
      <c r="H20" s="61"/>
      <c r="I20" s="61"/>
      <c r="J20" s="61"/>
      <c r="K20" s="61"/>
      <c r="L20" s="10"/>
      <c r="M20" s="12">
        <f t="shared" si="0"/>
        <v>0</v>
      </c>
      <c r="N20" s="13">
        <f t="shared" si="1"/>
        <v>0</v>
      </c>
      <c r="O20" s="5"/>
      <c r="P20" s="5"/>
      <c r="Q20" s="5"/>
      <c r="R20" s="5"/>
      <c r="S20" s="5"/>
    </row>
    <row r="21" spans="1:19" ht="25.5" customHeight="1" x14ac:dyDescent="0.25">
      <c r="A21" s="5"/>
      <c r="B21" s="10"/>
      <c r="C21" s="10"/>
      <c r="D21" s="10"/>
      <c r="E21" s="61"/>
      <c r="F21" s="61"/>
      <c r="G21" s="61"/>
      <c r="H21" s="61"/>
      <c r="I21" s="61"/>
      <c r="J21" s="61"/>
      <c r="K21" s="61"/>
      <c r="L21" s="10"/>
      <c r="M21" s="12">
        <f t="shared" si="0"/>
        <v>0</v>
      </c>
      <c r="N21" s="14">
        <f t="shared" si="1"/>
        <v>0</v>
      </c>
      <c r="O21" s="5"/>
      <c r="P21" s="5"/>
      <c r="Q21" s="5"/>
      <c r="R21" s="5"/>
      <c r="S21" s="5"/>
    </row>
    <row r="22" spans="1:19" ht="25.5" customHeight="1" x14ac:dyDescent="0.25">
      <c r="A22" s="5"/>
      <c r="B22" s="10"/>
      <c r="C22" s="10"/>
      <c r="D22" s="10"/>
      <c r="E22" s="61"/>
      <c r="F22" s="61"/>
      <c r="G22" s="61"/>
      <c r="H22" s="61"/>
      <c r="I22" s="61"/>
      <c r="J22" s="61"/>
      <c r="K22" s="61"/>
      <c r="L22" s="10"/>
      <c r="M22" s="12">
        <f t="shared" si="0"/>
        <v>0</v>
      </c>
      <c r="N22" s="13">
        <f t="shared" si="1"/>
        <v>0</v>
      </c>
      <c r="O22" s="5"/>
      <c r="P22" s="5"/>
      <c r="Q22" s="5"/>
      <c r="R22" s="5"/>
      <c r="S22" s="5"/>
    </row>
    <row r="23" spans="1:19" ht="25.5" customHeight="1" x14ac:dyDescent="0.25">
      <c r="A23" s="5"/>
      <c r="B23" s="10"/>
      <c r="C23" s="10"/>
      <c r="D23" s="10"/>
      <c r="E23" s="61"/>
      <c r="F23" s="61"/>
      <c r="G23" s="61"/>
      <c r="H23" s="61"/>
      <c r="I23" s="61"/>
      <c r="J23" s="61"/>
      <c r="K23" s="61"/>
      <c r="L23" s="10"/>
      <c r="M23" s="12">
        <f t="shared" si="0"/>
        <v>0</v>
      </c>
      <c r="N23" s="14">
        <f t="shared" si="1"/>
        <v>0</v>
      </c>
      <c r="O23" s="5"/>
      <c r="P23" s="5"/>
      <c r="Q23" s="5"/>
      <c r="R23" s="5"/>
      <c r="S23" s="5"/>
    </row>
    <row r="24" spans="1:19" ht="25.5" customHeight="1" x14ac:dyDescent="0.25">
      <c r="A24" s="5"/>
      <c r="B24" s="10"/>
      <c r="C24" s="10"/>
      <c r="D24" s="10"/>
      <c r="E24" s="61"/>
      <c r="F24" s="61"/>
      <c r="G24" s="61"/>
      <c r="H24" s="61"/>
      <c r="I24" s="61"/>
      <c r="J24" s="61"/>
      <c r="K24" s="61"/>
      <c r="L24" s="10"/>
      <c r="M24" s="12">
        <f t="shared" si="0"/>
        <v>0</v>
      </c>
      <c r="N24" s="13">
        <f t="shared" si="1"/>
        <v>0</v>
      </c>
      <c r="O24" s="5"/>
      <c r="P24" s="5"/>
      <c r="Q24" s="5"/>
      <c r="R24" s="5"/>
      <c r="S24" s="5"/>
    </row>
    <row r="25" spans="1:19" ht="25.5" customHeight="1" x14ac:dyDescent="0.25">
      <c r="A25" s="5"/>
      <c r="B25" s="10"/>
      <c r="C25" s="10"/>
      <c r="D25" s="10"/>
      <c r="E25" s="61"/>
      <c r="F25" s="61"/>
      <c r="G25" s="61"/>
      <c r="H25" s="61"/>
      <c r="I25" s="61"/>
      <c r="J25" s="61"/>
      <c r="K25" s="61"/>
      <c r="L25" s="10"/>
      <c r="M25" s="12">
        <f t="shared" si="0"/>
        <v>0</v>
      </c>
      <c r="N25" s="14">
        <f t="shared" si="1"/>
        <v>0</v>
      </c>
      <c r="O25" s="5"/>
      <c r="P25" s="5"/>
      <c r="Q25" s="5"/>
      <c r="R25" s="5"/>
      <c r="S25" s="5"/>
    </row>
    <row r="26" spans="1:19" ht="25.5" customHeight="1" x14ac:dyDescent="0.25">
      <c r="A26" s="5"/>
      <c r="B26" s="10"/>
      <c r="C26" s="10"/>
      <c r="D26" s="10"/>
      <c r="E26" s="61"/>
      <c r="F26" s="61"/>
      <c r="G26" s="61"/>
      <c r="H26" s="61"/>
      <c r="I26" s="61"/>
      <c r="J26" s="61"/>
      <c r="K26" s="61"/>
      <c r="L26" s="10"/>
      <c r="M26" s="12">
        <f t="shared" si="0"/>
        <v>0</v>
      </c>
      <c r="N26" s="13">
        <f t="shared" si="1"/>
        <v>0</v>
      </c>
      <c r="O26" s="5"/>
      <c r="P26" s="5"/>
      <c r="Q26" s="5"/>
      <c r="R26" s="5"/>
      <c r="S26" s="5"/>
    </row>
    <row r="27" spans="1:19" ht="25.5" customHeight="1" x14ac:dyDescent="0.25">
      <c r="A27" s="5"/>
      <c r="B27" s="10"/>
      <c r="C27" s="10"/>
      <c r="D27" s="10"/>
      <c r="E27" s="61"/>
      <c r="F27" s="61"/>
      <c r="G27" s="61"/>
      <c r="H27" s="61"/>
      <c r="I27" s="61"/>
      <c r="J27" s="61"/>
      <c r="K27" s="61"/>
      <c r="L27" s="10"/>
      <c r="M27" s="12">
        <f t="shared" si="0"/>
        <v>0</v>
      </c>
      <c r="N27" s="14">
        <f t="shared" si="1"/>
        <v>0</v>
      </c>
      <c r="O27" s="5"/>
      <c r="P27" s="5"/>
      <c r="Q27" s="5"/>
      <c r="R27" s="5"/>
      <c r="S27" s="5"/>
    </row>
    <row r="28" spans="1:19" ht="25.5" customHeight="1" x14ac:dyDescent="0.25">
      <c r="A28" s="5"/>
      <c r="B28" s="10"/>
      <c r="C28" s="10"/>
      <c r="D28" s="10"/>
      <c r="E28" s="61"/>
      <c r="F28" s="61"/>
      <c r="G28" s="61"/>
      <c r="H28" s="61"/>
      <c r="I28" s="61"/>
      <c r="J28" s="61"/>
      <c r="K28" s="61"/>
      <c r="L28" s="10"/>
      <c r="M28" s="12">
        <f t="shared" si="0"/>
        <v>0</v>
      </c>
      <c r="N28" s="13">
        <f t="shared" si="1"/>
        <v>0</v>
      </c>
      <c r="O28" s="5"/>
      <c r="P28" s="5"/>
      <c r="Q28" s="5"/>
      <c r="R28" s="5"/>
      <c r="S28" s="5"/>
    </row>
    <row r="29" spans="1:19" ht="21.75" customHeight="1" x14ac:dyDescent="0.25">
      <c r="A29" s="5"/>
      <c r="B29" s="142" t="s">
        <v>81</v>
      </c>
      <c r="C29" s="142"/>
      <c r="D29" s="142"/>
      <c r="E29" s="15">
        <f t="shared" ref="E29:K29" si="2">SUM(E14:E28)</f>
        <v>8</v>
      </c>
      <c r="F29" s="15">
        <f t="shared" si="2"/>
        <v>28</v>
      </c>
      <c r="G29" s="15">
        <f t="shared" si="2"/>
        <v>8</v>
      </c>
      <c r="H29" s="15">
        <f t="shared" si="2"/>
        <v>8</v>
      </c>
      <c r="I29" s="15">
        <f t="shared" si="2"/>
        <v>8</v>
      </c>
      <c r="J29" s="15">
        <f t="shared" si="2"/>
        <v>0</v>
      </c>
      <c r="K29" s="15">
        <f t="shared" si="2"/>
        <v>0</v>
      </c>
      <c r="L29" s="16"/>
      <c r="M29" s="17">
        <f>SUM(M14:M28)</f>
        <v>60</v>
      </c>
      <c r="N29" s="17">
        <f>SUM(N14:N28)</f>
        <v>20</v>
      </c>
      <c r="O29" s="5"/>
      <c r="P29" s="5"/>
      <c r="Q29" s="5"/>
      <c r="R29" s="5"/>
      <c r="S29" s="5"/>
    </row>
    <row r="30" spans="1:19" ht="21.75" customHeight="1" x14ac:dyDescent="0.25">
      <c r="A30" s="5"/>
      <c r="B30" s="142" t="s">
        <v>82</v>
      </c>
      <c r="C30" s="142"/>
      <c r="D30" s="142"/>
      <c r="E30" s="15" cm="1">
        <f t="array" ref="E30">MAX(0, SUM(E14:E28) - 8 - SUM(SUMIFS(E14:E28, $C$14:$C$28, {"TIL Payout","Vacation Hours"})))</f>
        <v>0</v>
      </c>
      <c r="F30" s="15" cm="1">
        <f t="array" ref="F30">MAX(0, SUM(F14:F28) - 8 - SUM(SUMIFS(F14:F28, $C$14:$C$28, {"TIL Payout","Vacation Hours"})))</f>
        <v>0</v>
      </c>
      <c r="G30" s="15" cm="1">
        <f t="array" ref="G30">MAX(0, SUM(G14:G28) - 8 - SUM(SUMIFS(G14:G28, $C$14:$C$28, {"TIL Payout","Vacation Hours"})))</f>
        <v>0</v>
      </c>
      <c r="H30" s="15" cm="1">
        <f t="array" ref="H30">MAX(0, SUM(H14:H28) - 8 - SUM(SUMIFS(H14:H28, $C$14:$C$28, {"TIL Payout","Vacation Hours"})))</f>
        <v>0</v>
      </c>
      <c r="I30" s="15" cm="1">
        <f t="array" ref="I30">MAX(0, SUM(I14:I28) - 8 - SUM(SUMIFS(I14:I28, $C$14:$C$28, {"TIL Payout","Vacation Hours"})))</f>
        <v>0</v>
      </c>
      <c r="J30" s="15">
        <f>J29</f>
        <v>0</v>
      </c>
      <c r="K30" s="15">
        <f>K29</f>
        <v>0</v>
      </c>
      <c r="L30" s="16"/>
      <c r="M30" s="17">
        <f>SUM(E30:K30)</f>
        <v>0</v>
      </c>
      <c r="N30" s="130"/>
      <c r="O30" s="5"/>
      <c r="P30" s="5"/>
      <c r="Q30" s="5"/>
      <c r="R30" s="5"/>
      <c r="S30" s="5"/>
    </row>
    <row r="31" spans="1:19" ht="21.7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ht="21.75" customHeight="1" x14ac:dyDescent="0.25">
      <c r="A32" s="5"/>
      <c r="B32" s="143" t="str">
        <f>IF(F5="Submitted","🔒  TIMESHEET SUBMITTED – Awaiting Admin Approval","📝  Status: "&amp;F5&amp;"  –  Change Status to 'Submitted' when your week is complete")</f>
        <v>🔒  TIMESHEET SUBMITTED – Awaiting Admin Approval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5"/>
      <c r="P32" s="5"/>
      <c r="Q32" s="5"/>
      <c r="R32" s="5"/>
      <c r="S32" s="5"/>
    </row>
    <row r="33" spans="1:19" ht="18" customHeight="1" x14ac:dyDescent="0.25">
      <c r="A33" s="5"/>
      <c r="B33" s="139" t="s">
        <v>83</v>
      </c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5"/>
      <c r="P33" s="5"/>
      <c r="Q33" s="5"/>
      <c r="R33" s="5"/>
      <c r="S33" s="5"/>
    </row>
    <row r="34" spans="1:19" ht="18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19" ht="19.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9" ht="19.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 ht="19.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ht="19.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ht="19.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ht="19.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ht="19.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 ht="19.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ht="19.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ht="19.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ht="19.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19" ht="19.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9" ht="19.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 ht="19.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ht="19.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ht="19.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ht="19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ht="19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 ht="6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 ht="21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ht="6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 ht="18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 ht="1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 ht="21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ht="1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ht="1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ht="1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 ht="1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ht="1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1:19" ht="1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1:19" ht="1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1:19" ht="1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1:19" ht="1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1:19" ht="1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1:19" ht="1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1:19" ht="1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1:19" ht="1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1:19" ht="1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1:19" ht="1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1:19" ht="1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1:19" ht="1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1:19" ht="1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1:19" ht="1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19" ht="1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1:19" ht="1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1:19" ht="1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1:19" ht="1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1:19" ht="1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1:19" ht="1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1:19" ht="1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1:19" ht="1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1:19" ht="1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1:19" ht="1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1:19" ht="1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1:19" ht="1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1:19" ht="1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1:19" ht="1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1:19" ht="1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1:19" ht="1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1:19" ht="1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1:19" ht="1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1:19" ht="1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1:19" ht="1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1:19" ht="1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1:19" ht="1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1:19" ht="1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</sheetData>
  <mergeCells count="25">
    <mergeCell ref="B2:N2"/>
    <mergeCell ref="C4:D4"/>
    <mergeCell ref="F4:H4"/>
    <mergeCell ref="C5:D5"/>
    <mergeCell ref="F5:H5"/>
    <mergeCell ref="C6:D6"/>
    <mergeCell ref="F6:H6"/>
    <mergeCell ref="C7:N7"/>
    <mergeCell ref="B9:C9"/>
    <mergeCell ref="D9:E9"/>
    <mergeCell ref="F9:H9"/>
    <mergeCell ref="I9:J9"/>
    <mergeCell ref="K9:L9"/>
    <mergeCell ref="M9:N9"/>
    <mergeCell ref="B33:N33"/>
    <mergeCell ref="M10:N10"/>
    <mergeCell ref="B13:D13"/>
    <mergeCell ref="B29:D29"/>
    <mergeCell ref="B30:D30"/>
    <mergeCell ref="B32:N32"/>
    <mergeCell ref="B10:C10"/>
    <mergeCell ref="D10:E10"/>
    <mergeCell ref="F10:H10"/>
    <mergeCell ref="I10:J10"/>
    <mergeCell ref="K10:L10"/>
  </mergeCells>
  <conditionalFormatting sqref="B58:G58">
    <cfRule type="expression" dxfId="11" priority="13">
      <formula>$F$5="Submitted"</formula>
    </cfRule>
    <cfRule type="expression" dxfId="10" priority="14">
      <formula>$F$5="Approved"</formula>
    </cfRule>
    <cfRule type="expression" dxfId="9" priority="15">
      <formula>$F$5="Declined"</formula>
    </cfRule>
  </conditionalFormatting>
  <conditionalFormatting sqref="D14:D28">
    <cfRule type="expression" dxfId="8" priority="2">
      <formula>AND($B14="Project", $D14="")</formula>
    </cfRule>
    <cfRule type="expression" dxfId="7" priority="3">
      <formula>AND(D14="Project", F14="")</formula>
    </cfRule>
  </conditionalFormatting>
  <conditionalFormatting sqref="F5">
    <cfRule type="expression" dxfId="6" priority="10">
      <formula>$F$5="Submitted"</formula>
    </cfRule>
    <cfRule type="expression" dxfId="5" priority="11">
      <formula>$F$5="Approved"</formula>
    </cfRule>
    <cfRule type="expression" dxfId="4" priority="12">
      <formula>$F$5="Declined"</formula>
    </cfRule>
  </conditionalFormatting>
  <dataValidations count="5">
    <dataValidation type="list" allowBlank="1" showErrorMessage="1" errorTitle="Invalid Category" error="Choose from: Project, Admin, or Office &amp; Sales" sqref="B14:B28" xr:uid="{00000000-0002-0000-0100-000000000000}">
      <formula1>"Project,Admin,Office &amp; Sales"</formula1>
      <formula2>0</formula2>
    </dataValidation>
    <dataValidation type="list" allowBlank="1" showErrorMessage="1" errorTitle="Invalid Sub-Category" error="Select Main Category first, then choose the appropriate sub-category." sqref="C14:C28" xr:uid="{00000000-0002-0000-0100-000001000000}">
      <formula1>INDIRECT(IF(B14="Project","ProjectSubs",IF(B14="Admin","AdminSubs",IF(B14="Office &amp; Sales","OfficeSubs",""))))</formula1>
      <formula2>0</formula2>
    </dataValidation>
    <dataValidation type="decimal" operator="greaterThanOrEqual" allowBlank="1" showErrorMessage="1" errorTitle="Invalid Hours" error="Hours must be 0 or greater. Negative values are not allowed." sqref="E14:K29" xr:uid="{00000000-0002-0000-0100-000002000000}">
      <formula1>0</formula1>
      <formula2>0</formula2>
    </dataValidation>
    <dataValidation type="list" sqref="F5" xr:uid="{00000000-0002-0000-0100-000003000000}">
      <formula1>"Draft,Submitted"</formula1>
      <formula2>0</formula2>
    </dataValidation>
    <dataValidation type="date" operator="greaterThanOrEqual" allowBlank="1" showInputMessage="1" promptTitle="Select Date" prompt="Enter the Monday date for this week (YYYY-MM-DD format). Use the date picker or type directly." sqref="F4" xr:uid="{00000000-0002-0000-0100-000004000000}">
      <formula1>DATE(2020,1,1)</formula1>
      <formula2>0</formula2>
    </dataValidation>
  </dataValidations>
  <pageMargins left="0.75" right="0.75" top="1" bottom="1" header="0.511811023622047" footer="0.511811023622047"/>
  <pageSetup paperSize="9" scale="47" orientation="landscape" horizontalDpi="300" verticalDpi="300"/>
  <colBreaks count="1" manualBreakCount="1">
    <brk id="14" max="1048575" man="1"/>
  </colBreaks>
  <ignoredErrors>
    <ignoredError sqref="M15 M18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96"/>
  <sheetViews>
    <sheetView showGridLines="0" topLeftCell="A5" zoomScale="130" zoomScaleNormal="130" workbookViewId="0">
      <selection activeCell="N24" sqref="N24:O24"/>
    </sheetView>
  </sheetViews>
  <sheetFormatPr defaultColWidth="8.7109375" defaultRowHeight="15" outlineLevelRow="1" x14ac:dyDescent="0.25"/>
  <cols>
    <col min="1" max="1" width="0.5703125" customWidth="1"/>
    <col min="2" max="2" width="2.7109375" customWidth="1"/>
    <col min="3" max="3" width="8.7109375" customWidth="1"/>
    <col min="4" max="4" width="9.140625" customWidth="1"/>
    <col min="5" max="5" width="6.85546875" customWidth="1"/>
    <col min="6" max="11" width="6.140625" customWidth="1"/>
    <col min="12" max="12" width="7.28515625" customWidth="1"/>
    <col min="13" max="13" width="0.7109375" customWidth="1"/>
    <col min="14" max="14" width="8.42578125" customWidth="1"/>
    <col min="15" max="15" width="6.85546875" customWidth="1"/>
    <col min="16" max="16" width="9.140625" customWidth="1"/>
    <col min="17" max="22" width="5.28515625" customWidth="1"/>
    <col min="23" max="23" width="7.28515625" customWidth="1"/>
  </cols>
  <sheetData>
    <row r="1" spans="1:23" ht="0.95" customHeight="1" x14ac:dyDescent="0.25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</row>
    <row r="2" spans="1:23" s="86" customFormat="1" ht="24" customHeight="1" x14ac:dyDescent="0.25">
      <c r="A2" s="85"/>
      <c r="B2" s="205" t="s">
        <v>84</v>
      </c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7"/>
      <c r="N2" s="206"/>
      <c r="O2" s="206"/>
      <c r="P2" s="206"/>
      <c r="Q2" s="206"/>
      <c r="R2" s="206"/>
      <c r="S2" s="206"/>
      <c r="T2" s="206"/>
      <c r="U2" s="206"/>
      <c r="V2" s="206"/>
      <c r="W2" s="208"/>
    </row>
    <row r="3" spans="1:23" ht="0.95" customHeight="1" x14ac:dyDescent="0.25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</row>
    <row r="4" spans="1:23" ht="12.95" customHeight="1" x14ac:dyDescent="0.25">
      <c r="A4" s="84"/>
      <c r="B4" s="224" t="s">
        <v>85</v>
      </c>
      <c r="C4" s="225"/>
      <c r="D4" s="225"/>
      <c r="E4" s="228" t="str">
        <f>'Weekly Timesheet'!C4</f>
        <v>Utsav Chovatia</v>
      </c>
      <c r="F4" s="228"/>
      <c r="G4" s="228"/>
      <c r="H4" s="228"/>
      <c r="I4" s="228"/>
      <c r="J4" s="228"/>
      <c r="K4" s="228"/>
      <c r="L4" s="228"/>
      <c r="M4" s="87"/>
      <c r="N4" s="225" t="s">
        <v>86</v>
      </c>
      <c r="O4" s="225"/>
      <c r="P4" s="236">
        <f>'Weekly Timesheet'!F4</f>
        <v>46111</v>
      </c>
      <c r="Q4" s="236"/>
      <c r="R4" s="236"/>
      <c r="S4" s="236"/>
      <c r="T4" s="236"/>
      <c r="U4" s="236"/>
      <c r="V4" s="236"/>
      <c r="W4" s="237"/>
    </row>
    <row r="5" spans="1:23" ht="12.95" customHeight="1" x14ac:dyDescent="0.25">
      <c r="A5" s="84"/>
      <c r="B5" s="226" t="s">
        <v>87</v>
      </c>
      <c r="C5" s="227"/>
      <c r="D5" s="227"/>
      <c r="E5" s="229">
        <f>'Weekly Timesheet'!C5</f>
        <v>1</v>
      </c>
      <c r="F5" s="229"/>
      <c r="G5" s="229"/>
      <c r="H5" s="229"/>
      <c r="I5" s="229"/>
      <c r="J5" s="229"/>
      <c r="K5" s="229"/>
      <c r="L5" s="229"/>
      <c r="N5" s="227" t="s">
        <v>88</v>
      </c>
      <c r="O5" s="227"/>
      <c r="P5" s="283" t="str">
        <f>'Weekly Timesheet'!F5</f>
        <v>Submitted</v>
      </c>
      <c r="Q5" s="283"/>
      <c r="R5" s="283"/>
      <c r="S5" s="283"/>
      <c r="T5" s="283"/>
      <c r="U5" s="283"/>
      <c r="V5" s="283"/>
      <c r="W5" s="284"/>
    </row>
    <row r="6" spans="1:23" ht="12.95" customHeight="1" x14ac:dyDescent="0.25">
      <c r="A6" s="84"/>
      <c r="B6" s="226" t="s">
        <v>89</v>
      </c>
      <c r="C6" s="227"/>
      <c r="D6" s="227"/>
      <c r="E6" s="232" t="str">
        <f>'Weekly Timesheet'!C6</f>
        <v>Engineering</v>
      </c>
      <c r="F6" s="232"/>
      <c r="G6" s="232"/>
      <c r="H6" s="232"/>
      <c r="I6" s="232"/>
      <c r="J6" s="232"/>
      <c r="K6" s="232"/>
      <c r="L6" s="232"/>
      <c r="N6" s="227" t="s">
        <v>90</v>
      </c>
      <c r="O6" s="227"/>
      <c r="P6" s="232">
        <f>'Weekly Timesheet'!F6</f>
        <v>0</v>
      </c>
      <c r="Q6" s="232"/>
      <c r="R6" s="232"/>
      <c r="S6" s="232"/>
      <c r="T6" s="232"/>
      <c r="U6" s="232"/>
      <c r="V6" s="232"/>
      <c r="W6" s="285"/>
    </row>
    <row r="7" spans="1:23" ht="12.95" customHeight="1" x14ac:dyDescent="0.25">
      <c r="A7" s="84"/>
      <c r="B7" s="230" t="s">
        <v>91</v>
      </c>
      <c r="C7" s="231"/>
      <c r="D7" s="231"/>
      <c r="E7" s="233" t="str">
        <f ca="1">TEXT(TODAY(),"DD MMMM YYYY")</f>
        <v>18 June 2026</v>
      </c>
      <c r="F7" s="233"/>
      <c r="G7" s="233"/>
      <c r="H7" s="233"/>
      <c r="I7" s="233"/>
      <c r="J7" s="233"/>
      <c r="K7" s="233"/>
      <c r="L7" s="233"/>
      <c r="M7" s="88"/>
      <c r="N7" s="88"/>
      <c r="O7" s="88"/>
      <c r="P7" s="88"/>
      <c r="Q7" s="88"/>
      <c r="R7" s="88"/>
      <c r="S7" s="88"/>
      <c r="T7" s="88"/>
      <c r="U7" s="88"/>
      <c r="V7" s="88"/>
      <c r="W7" s="89"/>
    </row>
    <row r="8" spans="1:23" ht="3.75" customHeight="1" x14ac:dyDescent="0.25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</row>
    <row r="9" spans="1:23" s="86" customFormat="1" ht="15.95" customHeight="1" x14ac:dyDescent="0.25">
      <c r="A9" s="85"/>
      <c r="B9" s="209" t="s">
        <v>92</v>
      </c>
      <c r="C9" s="210"/>
      <c r="D9" s="210"/>
      <c r="E9" s="210"/>
      <c r="F9" s="210"/>
      <c r="G9" s="210"/>
      <c r="H9" s="210"/>
      <c r="I9" s="210"/>
      <c r="J9" s="210"/>
      <c r="K9" s="210"/>
      <c r="L9" s="210"/>
      <c r="M9" s="211"/>
      <c r="N9" s="210"/>
      <c r="O9" s="210"/>
      <c r="P9" s="210"/>
      <c r="Q9" s="210"/>
      <c r="R9" s="210"/>
      <c r="S9" s="210"/>
      <c r="T9" s="210"/>
      <c r="U9" s="210"/>
      <c r="V9" s="210"/>
      <c r="W9" s="212"/>
    </row>
    <row r="10" spans="1:23" s="86" customFormat="1" ht="21.95" customHeight="1" thickBot="1" x14ac:dyDescent="0.3">
      <c r="A10" s="85"/>
      <c r="B10" s="286">
        <f>IFERROR(SUM('Weekly Timesheet'!$M$14:$M$28),0)</f>
        <v>60</v>
      </c>
      <c r="C10" s="287"/>
      <c r="D10" s="287"/>
      <c r="E10" s="288"/>
      <c r="F10" s="304">
        <f>'Weekly Timesheet'!I9</f>
        <v>0</v>
      </c>
      <c r="G10" s="305"/>
      <c r="H10" s="305"/>
      <c r="I10" s="306"/>
      <c r="J10" s="310">
        <f>'Weekly Timesheet'!M9</f>
        <v>823.25</v>
      </c>
      <c r="K10" s="311"/>
      <c r="L10" s="311"/>
      <c r="M10" s="311"/>
      <c r="N10" s="312"/>
      <c r="O10" s="292">
        <f>'Weekly Timesheet'!M10</f>
        <v>48</v>
      </c>
      <c r="P10" s="293"/>
      <c r="Q10" s="293"/>
      <c r="R10" s="294"/>
      <c r="S10" s="298">
        <f>IFERROR(SUMIF('Weekly Timesheet'!$B$14:$B$28,"Project",'Weekly Timesheet'!$M$14:$M$28),0)</f>
        <v>10</v>
      </c>
      <c r="T10" s="299"/>
      <c r="U10" s="299"/>
      <c r="V10" s="299"/>
      <c r="W10" s="300"/>
    </row>
    <row r="11" spans="1:23" s="86" customFormat="1" ht="14.1" customHeight="1" thickTop="1" x14ac:dyDescent="0.25">
      <c r="A11" s="85"/>
      <c r="B11" s="289" t="s">
        <v>222</v>
      </c>
      <c r="C11" s="290"/>
      <c r="D11" s="290"/>
      <c r="E11" s="291"/>
      <c r="F11" s="307" t="s">
        <v>151</v>
      </c>
      <c r="G11" s="308"/>
      <c r="H11" s="308"/>
      <c r="I11" s="309"/>
      <c r="J11" s="313" t="s">
        <v>219</v>
      </c>
      <c r="K11" s="314"/>
      <c r="L11" s="314"/>
      <c r="M11" s="314"/>
      <c r="N11" s="315"/>
      <c r="O11" s="295" t="s">
        <v>220</v>
      </c>
      <c r="P11" s="296"/>
      <c r="Q11" s="296"/>
      <c r="R11" s="297"/>
      <c r="S11" s="301" t="s">
        <v>221</v>
      </c>
      <c r="T11" s="302"/>
      <c r="U11" s="302"/>
      <c r="V11" s="302"/>
      <c r="W11" s="303"/>
    </row>
    <row r="12" spans="1:23" ht="4.5" customHeight="1" x14ac:dyDescent="0.25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</row>
    <row r="13" spans="1:23" s="86" customFormat="1" ht="12.95" customHeight="1" x14ac:dyDescent="0.25">
      <c r="A13" s="85"/>
      <c r="B13" s="213" t="s">
        <v>98</v>
      </c>
      <c r="C13" s="214"/>
      <c r="D13" s="214"/>
      <c r="E13" s="214"/>
      <c r="F13" s="214"/>
      <c r="G13" s="214"/>
      <c r="H13" s="214"/>
      <c r="I13" s="214"/>
      <c r="J13" s="214"/>
      <c r="K13" s="214"/>
      <c r="L13" s="215"/>
      <c r="M13" s="85"/>
      <c r="N13" s="213" t="s">
        <v>105</v>
      </c>
      <c r="O13" s="214"/>
      <c r="P13" s="214"/>
      <c r="Q13" s="214"/>
      <c r="R13" s="214"/>
      <c r="S13" s="214"/>
      <c r="T13" s="214"/>
      <c r="U13" s="214"/>
      <c r="V13" s="214"/>
      <c r="W13" s="215"/>
    </row>
    <row r="14" spans="1:23" ht="0.95" customHeight="1" x14ac:dyDescent="0.25">
      <c r="A14" s="84"/>
      <c r="B14" s="90"/>
      <c r="C14" s="84"/>
      <c r="D14" s="84"/>
      <c r="E14" s="84"/>
      <c r="F14" s="84"/>
      <c r="G14" s="84"/>
      <c r="H14" s="84"/>
      <c r="I14" s="84"/>
      <c r="J14" s="84"/>
      <c r="K14" s="84"/>
      <c r="L14" s="91"/>
      <c r="M14" s="84"/>
      <c r="N14" s="90"/>
      <c r="O14" s="84"/>
      <c r="P14" s="84"/>
      <c r="Q14" s="84"/>
      <c r="R14" s="84"/>
      <c r="S14" s="84"/>
      <c r="T14" s="84"/>
      <c r="U14" s="84"/>
      <c r="V14" s="84"/>
      <c r="W14" s="91"/>
    </row>
    <row r="15" spans="1:23" ht="12" customHeight="1" x14ac:dyDescent="0.25">
      <c r="A15" s="84"/>
      <c r="B15" s="216" t="s">
        <v>99</v>
      </c>
      <c r="C15" s="217"/>
      <c r="D15" s="217"/>
      <c r="E15" s="92" t="s">
        <v>70</v>
      </c>
      <c r="F15" s="92" t="s">
        <v>71</v>
      </c>
      <c r="G15" s="92" t="s">
        <v>72</v>
      </c>
      <c r="H15" s="92" t="s">
        <v>73</v>
      </c>
      <c r="I15" s="92" t="s">
        <v>74</v>
      </c>
      <c r="J15" s="92" t="s">
        <v>75</v>
      </c>
      <c r="K15" s="92" t="s">
        <v>76</v>
      </c>
      <c r="L15" s="93" t="s">
        <v>100</v>
      </c>
      <c r="M15" s="84"/>
      <c r="N15" s="216" t="s">
        <v>99</v>
      </c>
      <c r="O15" s="194"/>
      <c r="P15" s="194"/>
      <c r="Q15" s="217" t="s">
        <v>106</v>
      </c>
      <c r="R15" s="217"/>
      <c r="S15" s="217"/>
      <c r="T15" s="217"/>
      <c r="U15" s="92"/>
      <c r="V15" s="217" t="s">
        <v>107</v>
      </c>
      <c r="W15" s="218"/>
    </row>
    <row r="16" spans="1:23" ht="12" customHeight="1" x14ac:dyDescent="0.25">
      <c r="A16" s="84"/>
      <c r="B16" s="234" t="s">
        <v>102</v>
      </c>
      <c r="C16" s="235"/>
      <c r="D16" s="235"/>
      <c r="E16" s="94">
        <f>IFERROR(SUM('Weekly Timesheet'!E14:E28)-MAX(0,SUM('Weekly Timesheet'!E14:E28)-8),0)</f>
        <v>8</v>
      </c>
      <c r="F16" s="94">
        <f>IFERROR(SUM('Weekly Timesheet'!F14:F28)-MAX(0,SUM('Weekly Timesheet'!F14:F28)-8),0)</f>
        <v>8</v>
      </c>
      <c r="G16" s="94">
        <f>IFERROR(SUM('Weekly Timesheet'!G14:G28)-MAX(0,SUM('Weekly Timesheet'!G14:G28)-8),0)</f>
        <v>8</v>
      </c>
      <c r="H16" s="94">
        <f>IFERROR(SUM('Weekly Timesheet'!H14:H28)-MAX(0,SUM('Weekly Timesheet'!H14:H28)-8),0)</f>
        <v>8</v>
      </c>
      <c r="I16" s="94">
        <f>IFERROR(SUM('Weekly Timesheet'!I14:I28)-MAX(0,SUM('Weekly Timesheet'!I14:I28)-8),0)</f>
        <v>8</v>
      </c>
      <c r="J16" s="94">
        <v>0</v>
      </c>
      <c r="K16" s="94">
        <v>0</v>
      </c>
      <c r="L16" s="95">
        <f>SUM(E16:K16)</f>
        <v>40</v>
      </c>
      <c r="M16" s="84"/>
      <c r="N16" s="219" t="s">
        <v>108</v>
      </c>
      <c r="O16" s="220"/>
      <c r="P16" s="220"/>
      <c r="Q16" s="221">
        <f>IFERROR(SUMIF('Weekly Timesheet'!$B$14:$B$28,"Project",'Weekly Timesheet'!$M$14:$M$28),0)</f>
        <v>10</v>
      </c>
      <c r="R16" s="221"/>
      <c r="S16" s="221"/>
      <c r="T16" s="221"/>
      <c r="U16" s="100"/>
      <c r="V16" s="222">
        <f>IFERROR(Q16/Q19,0)</f>
        <v>0.16666666666666666</v>
      </c>
      <c r="W16" s="223"/>
    </row>
    <row r="17" spans="1:23" ht="12" customHeight="1" x14ac:dyDescent="0.25">
      <c r="A17" s="84"/>
      <c r="B17" s="254" t="s">
        <v>103</v>
      </c>
      <c r="C17" s="255"/>
      <c r="D17" s="255"/>
      <c r="E17" s="96">
        <f>IFERROR(MAX(0, SUMIFS('Weekly Timesheet'!E14:E28, 'Weekly Timesheet'!$C$14:$C$28, "&lt;&gt;TIL Payout") - 8), 0)</f>
        <v>0</v>
      </c>
      <c r="F17" s="96">
        <f>IFERROR(MAX(0, SUMIFS('Weekly Timesheet'!F14:F28, 'Weekly Timesheet'!$C$14:$C$28, "&lt;&gt;TIL Payout") - 8), 0)</f>
        <v>0</v>
      </c>
      <c r="G17" s="96">
        <f>IFERROR(MAX(0, SUMIFS('Weekly Timesheet'!G14:G28, 'Weekly Timesheet'!$C$14:$C$28, "&lt;&gt;TIL Payout") - 8), 0)</f>
        <v>0</v>
      </c>
      <c r="H17" s="96">
        <f>IFERROR(MAX(0, SUMIFS('Weekly Timesheet'!H14:H28, 'Weekly Timesheet'!$C$14:$C$28, "&lt;&gt;TIL Payout") - 8), 0)</f>
        <v>0</v>
      </c>
      <c r="I17" s="96">
        <f>IFERROR(MAX(0, SUMIFS('Weekly Timesheet'!I14:I28, 'Weekly Timesheet'!$C$14:$C$28, "&lt;&gt;TIL Payout") - 8), 0)</f>
        <v>0</v>
      </c>
      <c r="J17" s="96">
        <f>SUM('Weekly Timesheet'!J14:J28)</f>
        <v>0</v>
      </c>
      <c r="K17" s="96">
        <f>SUM('Weekly Timesheet'!K14:K28)</f>
        <v>0</v>
      </c>
      <c r="L17" s="97">
        <f>SUM(E17:K17)</f>
        <v>0</v>
      </c>
      <c r="M17" s="84"/>
      <c r="N17" s="254" t="s">
        <v>109</v>
      </c>
      <c r="O17" s="255"/>
      <c r="P17" s="255"/>
      <c r="Q17" s="238">
        <f>IFERROR(SUMIF('Weekly Timesheet'!$B$14:$B$28,"Admin",'Weekly Timesheet'!$M$14:$M$28),0)</f>
        <v>29</v>
      </c>
      <c r="R17" s="238"/>
      <c r="S17" s="238"/>
      <c r="T17" s="238"/>
      <c r="U17" s="101"/>
      <c r="V17" s="239">
        <f>IFERROR(Q17/Q19,0)</f>
        <v>0.48333333333333334</v>
      </c>
      <c r="W17" s="240"/>
    </row>
    <row r="18" spans="1:23" ht="12" customHeight="1" x14ac:dyDescent="0.25">
      <c r="A18" s="84"/>
      <c r="B18" s="254" t="s">
        <v>127</v>
      </c>
      <c r="C18" s="255"/>
      <c r="D18" s="255"/>
      <c r="E18" s="96">
        <f>IFERROR(SUMIFS('Weekly Timesheet'!E14:E28, 'Weekly Timesheet'!$C$14:$C$28, "TIL Payout"), 0)</f>
        <v>0</v>
      </c>
      <c r="F18" s="96">
        <f>IFERROR(SUMIFS('Weekly Timesheet'!F14:F28, 'Weekly Timesheet'!$C$14:$C$28, "TIL Payout"), 0)</f>
        <v>20</v>
      </c>
      <c r="G18" s="96">
        <f>IFERROR(SUMIFS('Weekly Timesheet'!G14:G28, 'Weekly Timesheet'!$C$14:$C$28, "TIL Payout"), 0)</f>
        <v>0</v>
      </c>
      <c r="H18" s="96">
        <f>IFERROR(SUMIFS('Weekly Timesheet'!H14:H28, 'Weekly Timesheet'!$C$14:$C$28, "TIL Payout"), 0)</f>
        <v>0</v>
      </c>
      <c r="I18" s="96">
        <f>IFERROR(SUMIFS('Weekly Timesheet'!I14:I28, 'Weekly Timesheet'!$C$14:$C$28, "TIL Payout"), 0)</f>
        <v>0</v>
      </c>
      <c r="J18" s="96">
        <f>IFERROR(SUMIFS('Weekly Timesheet'!J14:J28, 'Weekly Timesheet'!$C$14:$C$28, "TIL Payout"), 0)</f>
        <v>0</v>
      </c>
      <c r="K18" s="96">
        <f>IFERROR(SUMIFS('Weekly Timesheet'!K14:K28, 'Weekly Timesheet'!$C$14:$C$28, "TIL Payout"), 0)</f>
        <v>0</v>
      </c>
      <c r="L18" s="97">
        <f>SUM(E18:K18)</f>
        <v>20</v>
      </c>
      <c r="M18" s="84"/>
      <c r="N18" s="241" t="s">
        <v>110</v>
      </c>
      <c r="O18" s="242"/>
      <c r="P18" s="242"/>
      <c r="Q18" s="243">
        <f>IFERROR(SUMIF('Weekly Timesheet'!$B$14:$B$28,"Office &amp; Sales",'Weekly Timesheet'!$M$14:$M$28),0)</f>
        <v>21</v>
      </c>
      <c r="R18" s="243"/>
      <c r="S18" s="243"/>
      <c r="T18" s="243"/>
      <c r="U18" s="102"/>
      <c r="V18" s="244">
        <f>IFERROR(Q18/Q19,0)</f>
        <v>0.35</v>
      </c>
      <c r="W18" s="245"/>
    </row>
    <row r="19" spans="1:23" ht="12" customHeight="1" x14ac:dyDescent="0.25">
      <c r="A19" s="84"/>
      <c r="B19" s="256" t="s">
        <v>104</v>
      </c>
      <c r="C19" s="257"/>
      <c r="D19" s="257"/>
      <c r="E19" s="98">
        <f>IFERROR(SUM('Weekly Timesheet'!E14:E28),0)</f>
        <v>8</v>
      </c>
      <c r="F19" s="98">
        <f>IFERROR(SUM('Weekly Timesheet'!F14:F28),0)</f>
        <v>28</v>
      </c>
      <c r="G19" s="98">
        <f>IFERROR(SUM('Weekly Timesheet'!G14:G28),0)</f>
        <v>8</v>
      </c>
      <c r="H19" s="98">
        <f>IFERROR(SUM('Weekly Timesheet'!H14:H28),0)</f>
        <v>8</v>
      </c>
      <c r="I19" s="98">
        <f>IFERROR(SUM('Weekly Timesheet'!I14:I28),0)</f>
        <v>8</v>
      </c>
      <c r="J19" s="98">
        <f>IFERROR(SUM('Weekly Timesheet'!J14:J28),0)</f>
        <v>0</v>
      </c>
      <c r="K19" s="98">
        <f>IFERROR(SUM('Weekly Timesheet'!K14:K28),0)</f>
        <v>0</v>
      </c>
      <c r="L19" s="99">
        <f>SUM(E19:K19)</f>
        <v>60</v>
      </c>
      <c r="M19" s="84"/>
      <c r="N19" s="246" t="s">
        <v>111</v>
      </c>
      <c r="O19" s="247"/>
      <c r="P19" s="247"/>
      <c r="Q19" s="248">
        <f>IFERROR(SUM('Weekly Timesheet'!$M$14:$M$28),0)</f>
        <v>60</v>
      </c>
      <c r="R19" s="248"/>
      <c r="S19" s="248"/>
      <c r="T19" s="248"/>
      <c r="U19" s="103"/>
      <c r="V19" s="249">
        <v>1</v>
      </c>
      <c r="W19" s="250"/>
    </row>
    <row r="20" spans="1:23" ht="3.75" customHeight="1" x14ac:dyDescent="0.25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</row>
    <row r="21" spans="1:23" s="86" customFormat="1" ht="12.95" customHeight="1" x14ac:dyDescent="0.25">
      <c r="A21" s="85"/>
      <c r="B21" s="213" t="s">
        <v>113</v>
      </c>
      <c r="C21" s="214"/>
      <c r="D21" s="214"/>
      <c r="E21" s="214"/>
      <c r="F21" s="214"/>
      <c r="G21" s="214"/>
      <c r="H21" s="214"/>
      <c r="I21" s="214"/>
      <c r="J21" s="214"/>
      <c r="K21" s="214"/>
      <c r="L21" s="215"/>
      <c r="M21" s="85"/>
      <c r="N21" s="251" t="s">
        <v>140</v>
      </c>
      <c r="O21" s="252"/>
      <c r="P21" s="252"/>
      <c r="Q21" s="252"/>
      <c r="R21" s="252"/>
      <c r="S21" s="252"/>
      <c r="T21" s="252"/>
      <c r="U21" s="252"/>
      <c r="V21" s="252"/>
      <c r="W21" s="253"/>
    </row>
    <row r="22" spans="1:23" ht="0.95" customHeight="1" x14ac:dyDescent="0.25">
      <c r="A22" s="84"/>
      <c r="B22" s="90"/>
      <c r="C22" s="84"/>
      <c r="D22" s="84"/>
      <c r="E22" s="84"/>
      <c r="F22" s="84"/>
      <c r="G22" s="84"/>
      <c r="H22" s="84"/>
      <c r="I22" s="84"/>
      <c r="J22" s="84"/>
      <c r="K22" s="84"/>
      <c r="L22" s="91"/>
      <c r="M22" s="84"/>
      <c r="N22" s="90"/>
      <c r="O22" s="84"/>
      <c r="P22" s="84"/>
      <c r="Q22" s="84"/>
      <c r="R22" s="84"/>
      <c r="S22" s="84"/>
      <c r="T22" s="84"/>
      <c r="U22" s="84"/>
      <c r="V22" s="84"/>
      <c r="W22" s="91"/>
    </row>
    <row r="23" spans="1:23" ht="12" customHeight="1" x14ac:dyDescent="0.25">
      <c r="A23" s="84"/>
      <c r="B23" s="193" t="s">
        <v>114</v>
      </c>
      <c r="C23" s="194"/>
      <c r="D23" s="194" t="s">
        <v>68</v>
      </c>
      <c r="E23" s="194"/>
      <c r="F23" s="194"/>
      <c r="G23" s="194"/>
      <c r="H23" s="217" t="s">
        <v>115</v>
      </c>
      <c r="I23" s="217"/>
      <c r="J23" s="217"/>
      <c r="K23" s="217" t="s">
        <v>116</v>
      </c>
      <c r="L23" s="218"/>
      <c r="M23" s="84"/>
      <c r="N23" s="268" t="s">
        <v>141</v>
      </c>
      <c r="O23" s="269"/>
      <c r="P23" s="104" t="s">
        <v>68</v>
      </c>
      <c r="Q23" s="105" t="s">
        <v>70</v>
      </c>
      <c r="R23" s="105" t="s">
        <v>71</v>
      </c>
      <c r="S23" s="105" t="s">
        <v>72</v>
      </c>
      <c r="T23" s="105" t="s">
        <v>73</v>
      </c>
      <c r="U23" s="105" t="s">
        <v>74</v>
      </c>
      <c r="V23" s="105" t="s">
        <v>75</v>
      </c>
      <c r="W23" s="106" t="s">
        <v>142</v>
      </c>
    </row>
    <row r="24" spans="1:23" ht="11.1" customHeight="1" x14ac:dyDescent="0.25">
      <c r="A24" s="84"/>
      <c r="B24" s="258" t="s">
        <v>108</v>
      </c>
      <c r="C24" s="259"/>
      <c r="D24" s="260" t="s">
        <v>117</v>
      </c>
      <c r="E24" s="260"/>
      <c r="F24" s="260"/>
      <c r="G24" s="260"/>
      <c r="H24" s="261">
        <f>IFERROR(SUMIFS('Weekly Timesheet'!$M$14:$M$28,'Weekly Timesheet'!$B$14:$B$28,"Project",'Weekly Timesheet'!$C$14:$C$28,"Travel"),0)</f>
        <v>0</v>
      </c>
      <c r="I24" s="261"/>
      <c r="J24" s="261"/>
      <c r="K24" s="266">
        <f>IFERROR(H24/SUMIF('Weekly Timesheet'!$B$14:$B$28,"Project",'Weekly Timesheet'!$M$14:$M$28),0)</f>
        <v>0</v>
      </c>
      <c r="L24" s="267"/>
      <c r="M24" s="84"/>
      <c r="N24" s="264" cm="1">
        <f t="array" ref="N24">IFERROR(INDEX(_xlfn._xlws.SORT(_xlfn.UNIQUE(_xlfn._xlws.FILTER('Weekly Timesheet'!$D$14:$D$28,'Weekly Timesheet'!$B$14:$B$28="Project"))),1,1),"")</f>
        <v>2026125</v>
      </c>
      <c r="O24" s="265"/>
      <c r="P24" s="107" t="str" cm="1">
        <f t="array" ref="P24">IFERROR(IF(N24="","",INDEX('Weekly Timesheet'!$C$14:$C$28,MATCH(1,('Weekly Timesheet'!$B$14:$B$28="Project")*('Weekly Timesheet'!$D$14:$D$28=N24),0))),"")</f>
        <v>Site Travel</v>
      </c>
      <c r="Q24" s="108">
        <f>IFERROR(IF(N24="","",SUMIFS('Weekly Timesheet'!$E$14:$E$28,'Weekly Timesheet'!$B$14:$B$28,"Project",'Weekly Timesheet'!$D$14:$D$28,N24)),"")</f>
        <v>8</v>
      </c>
      <c r="R24" s="108">
        <f>IFERROR(IF(N24="","",SUMIFS('Weekly Timesheet'!$F$14:$F$28,'Weekly Timesheet'!$B$14:$B$28,"Project",'Weekly Timesheet'!$D$14:$D$28,N24)),"")</f>
        <v>0</v>
      </c>
      <c r="S24" s="108">
        <f>IFERROR(IF(N24="","",SUMIFS('Weekly Timesheet'!$G$14:$G$28,'Weekly Timesheet'!$B$14:$B$28,"Project",'Weekly Timesheet'!$D$14:$D$28,N24)),"")</f>
        <v>0</v>
      </c>
      <c r="T24" s="108">
        <f>IFERROR(IF(N24="","",SUMIFS('Weekly Timesheet'!$H$14:$H$28,'Weekly Timesheet'!$B$14:$B$28,"Project",'Weekly Timesheet'!$D$14:$D$28,N24)),"")</f>
        <v>2</v>
      </c>
      <c r="U24" s="108">
        <f>IFERROR(IF(N24="","",SUMIFS('Weekly Timesheet'!$I$14:$I$28,'Weekly Timesheet'!$B$14:$B$28,"Project",'Weekly Timesheet'!$D$14:$D$28,N24)),"")</f>
        <v>0</v>
      </c>
      <c r="V24" s="108">
        <f>IFERROR(IF(N24="","",SUMIFS('Weekly Timesheet'!$J$14:$J$28,'Weekly Timesheet'!$B$14:$B$28,"Project",'Weekly Timesheet'!$D$14:$D$28,N24)),"")</f>
        <v>0</v>
      </c>
      <c r="W24" s="109">
        <f>IFERROR(IF(N24="","",SUMIFS('Weekly Timesheet'!$M$14:$M$28,'Weekly Timesheet'!$B$14:$B$28,"Project",'Weekly Timesheet'!$D$14:$D$28,N24)),"")</f>
        <v>10</v>
      </c>
    </row>
    <row r="25" spans="1:23" ht="11.1" customHeight="1" outlineLevel="1" x14ac:dyDescent="0.25">
      <c r="A25" s="84"/>
      <c r="B25" s="169"/>
      <c r="C25" s="170"/>
      <c r="D25" s="171" t="s">
        <v>118</v>
      </c>
      <c r="E25" s="171"/>
      <c r="F25" s="171"/>
      <c r="G25" s="171"/>
      <c r="H25" s="162">
        <f>IFERROR(SUMIFS('Weekly Timesheet'!$M$14:$M$28,'Weekly Timesheet'!$B$14:$B$28,"Project",'Weekly Timesheet'!$C$14:$C$28,"Site Travel"),0)</f>
        <v>8</v>
      </c>
      <c r="I25" s="162"/>
      <c r="J25" s="162"/>
      <c r="K25" s="172">
        <f>IFERROR(H25/SUMIF('Weekly Timesheet'!$B$14:$B$28,"Project",'Weekly Timesheet'!$M$14:$M$28),0)</f>
        <v>0.8</v>
      </c>
      <c r="L25" s="173"/>
      <c r="M25" s="84"/>
      <c r="N25" s="262" t="str" cm="1">
        <f t="array" ref="N25">IFERROR(INDEX(_xlfn._xlws.SORT(_xlfn.UNIQUE(_xlfn._xlws.FILTER('Weekly Timesheet'!$D$14:$D$28,'Weekly Timesheet'!$B$14:$B$28="Project"))),2,1),"")</f>
        <v/>
      </c>
      <c r="O25" s="263"/>
      <c r="P25" s="110" t="str" cm="1">
        <f t="array" ref="P25">IFERROR(IF(N25="","",INDEX('Weekly Timesheet'!$C$14:$C$28,MATCH(1,('Weekly Timesheet'!$B$14:$B$28="Project")*('Weekly Timesheet'!$D$14:$D$28=N25),0))),"")</f>
        <v/>
      </c>
      <c r="Q25" s="111" t="str">
        <f>IFERROR(IF(N25="","",SUMIFS('Weekly Timesheet'!$E$14:$E$28,'Weekly Timesheet'!$B$14:$B$28,"Project",'Weekly Timesheet'!$D$14:$D$28,N25)),"")</f>
        <v/>
      </c>
      <c r="R25" s="111" t="str">
        <f>IFERROR(IF(N25="","",SUMIFS('Weekly Timesheet'!$F$14:$F$28,'Weekly Timesheet'!$B$14:$B$28,"Project",'Weekly Timesheet'!$D$14:$D$28,N25)),"")</f>
        <v/>
      </c>
      <c r="S25" s="111" t="str">
        <f>IFERROR(IF(N25="","",SUMIFS('Weekly Timesheet'!$G$14:$G$28,'Weekly Timesheet'!$B$14:$B$28,"Project",'Weekly Timesheet'!$D$14:$D$28,N25)),"")</f>
        <v/>
      </c>
      <c r="T25" s="111" t="str">
        <f>IFERROR(IF(N25="","",SUMIFS('Weekly Timesheet'!$H$14:$H$28,'Weekly Timesheet'!$B$14:$B$28,"Project",'Weekly Timesheet'!$D$14:$D$28,N25)),"")</f>
        <v/>
      </c>
      <c r="U25" s="111" t="str">
        <f>IFERROR(IF(N25="","",SUMIFS('Weekly Timesheet'!$I$14:$I$28,'Weekly Timesheet'!$B$14:$B$28,"Project",'Weekly Timesheet'!$D$14:$D$28,N25)),"")</f>
        <v/>
      </c>
      <c r="V25" s="111" t="str">
        <f>IFERROR(IF(N25="","",SUMIFS('Weekly Timesheet'!$J$14:$J$28,'Weekly Timesheet'!$B$14:$B$28,"Project",'Weekly Timesheet'!$D$14:$D$28,N25)),"")</f>
        <v/>
      </c>
      <c r="W25" s="112" t="str">
        <f>IFERROR(IF(N25="","",SUMIFS('Weekly Timesheet'!$M$14:$M$28,'Weekly Timesheet'!$B$14:$B$28,"Project",'Weekly Timesheet'!$D$14:$D$28,N25)),"")</f>
        <v/>
      </c>
    </row>
    <row r="26" spans="1:23" ht="11.1" customHeight="1" outlineLevel="1" x14ac:dyDescent="0.25">
      <c r="A26" s="84"/>
      <c r="B26" s="197"/>
      <c r="C26" s="198"/>
      <c r="D26" s="199" t="s">
        <v>119</v>
      </c>
      <c r="E26" s="199"/>
      <c r="F26" s="199"/>
      <c r="G26" s="199"/>
      <c r="H26" s="195">
        <f>IFERROR(SUMIFS('Weekly Timesheet'!$M$14:$M$28,'Weekly Timesheet'!$B$14:$B$28,"Project",'Weekly Timesheet'!$C$14:$C$28,"Site Work"),0)</f>
        <v>0</v>
      </c>
      <c r="I26" s="195"/>
      <c r="J26" s="195"/>
      <c r="K26" s="191">
        <f>IFERROR(H26/SUMIF('Weekly Timesheet'!$B$14:$B$28,"Project",'Weekly Timesheet'!$M$14:$M$28),0)</f>
        <v>0</v>
      </c>
      <c r="L26" s="192"/>
      <c r="M26" s="84"/>
      <c r="N26" s="264" t="str" cm="1">
        <f t="array" ref="N26">IFERROR(INDEX(_xlfn._xlws.SORT(_xlfn.UNIQUE(_xlfn._xlws.FILTER('Weekly Timesheet'!$D$14:$D$28,'Weekly Timesheet'!$B$14:$B$28="Project"))),3,1),"")</f>
        <v/>
      </c>
      <c r="O26" s="265"/>
      <c r="P26" s="107" t="str" cm="1">
        <f t="array" ref="P26">IFERROR(IF(N26="","",INDEX('Weekly Timesheet'!$C$14:$C$28,MATCH(1,('Weekly Timesheet'!$B$14:$B$28="Project")*('Weekly Timesheet'!$D$14:$D$28=N26),0))),"")</f>
        <v/>
      </c>
      <c r="Q26" s="108" t="str">
        <f>IFERROR(IF(N26="","",SUMIFS('Weekly Timesheet'!$E$14:$E$28,'Weekly Timesheet'!$B$14:$B$28,"Project",'Weekly Timesheet'!$D$14:$D$28,N26)),"")</f>
        <v/>
      </c>
      <c r="R26" s="108" t="str">
        <f>IFERROR(IF(N26="","",SUMIFS('Weekly Timesheet'!$F$14:$F$28,'Weekly Timesheet'!$B$14:$B$28,"Project",'Weekly Timesheet'!$D$14:$D$28,N26)),"")</f>
        <v/>
      </c>
      <c r="S26" s="108" t="str">
        <f>IFERROR(IF(N26="","",SUMIFS('Weekly Timesheet'!$G$14:$G$28,'Weekly Timesheet'!$B$14:$B$28,"Project",'Weekly Timesheet'!$D$14:$D$28,N26)),"")</f>
        <v/>
      </c>
      <c r="T26" s="108" t="str">
        <f>IFERROR(IF(N26="","",SUMIFS('Weekly Timesheet'!$H$14:$H$28,'Weekly Timesheet'!$B$14:$B$28,"Project",'Weekly Timesheet'!$D$14:$D$28,N26)),"")</f>
        <v/>
      </c>
      <c r="U26" s="108" t="str">
        <f>IFERROR(IF(N26="","",SUMIFS('Weekly Timesheet'!$I$14:$I$28,'Weekly Timesheet'!$B$14:$B$28,"Project",'Weekly Timesheet'!$D$14:$D$28,N26)),"")</f>
        <v/>
      </c>
      <c r="V26" s="108" t="str">
        <f>IFERROR(IF(N26="","",SUMIFS('Weekly Timesheet'!$J$14:$J$28,'Weekly Timesheet'!$B$14:$B$28,"Project",'Weekly Timesheet'!$D$14:$D$28,N26)),"")</f>
        <v/>
      </c>
      <c r="W26" s="109" t="str">
        <f>IFERROR(IF(N26="","",SUMIFS('Weekly Timesheet'!$M$14:$M$28,'Weekly Timesheet'!$B$14:$B$28,"Project",'Weekly Timesheet'!$D$14:$D$28,N26)),"")</f>
        <v/>
      </c>
    </row>
    <row r="27" spans="1:23" ht="11.1" customHeight="1" outlineLevel="1" x14ac:dyDescent="0.25">
      <c r="A27" s="84"/>
      <c r="B27" s="169"/>
      <c r="C27" s="170"/>
      <c r="D27" s="171" t="s">
        <v>120</v>
      </c>
      <c r="E27" s="171"/>
      <c r="F27" s="171"/>
      <c r="G27" s="171"/>
      <c r="H27" s="162">
        <f>IFERROR(SUMIFS('Weekly Timesheet'!$M$14:$M$28,'Weekly Timesheet'!$B$14:$B$28,"Project",'Weekly Timesheet'!$C$14:$C$28,"Report"),0)</f>
        <v>2</v>
      </c>
      <c r="I27" s="162"/>
      <c r="J27" s="162"/>
      <c r="K27" s="172">
        <f>IFERROR(H27/SUMIF('Weekly Timesheet'!$B$14:$B$28,"Project",'Weekly Timesheet'!$M$14:$M$28),0)</f>
        <v>0.2</v>
      </c>
      <c r="L27" s="173"/>
      <c r="M27" s="84"/>
      <c r="N27" s="262" t="str" cm="1">
        <f t="array" ref="N27">IFERROR(INDEX(_xlfn._xlws.SORT(_xlfn.UNIQUE(_xlfn._xlws.FILTER('Weekly Timesheet'!$D$14:$D$28,'Weekly Timesheet'!$B$14:$B$28="Project"))),4,1),"")</f>
        <v/>
      </c>
      <c r="O27" s="263"/>
      <c r="P27" s="110" t="str" cm="1">
        <f t="array" ref="P27">IFERROR(IF(N27="","",INDEX('Weekly Timesheet'!$C$14:$C$28,MATCH(1,('Weekly Timesheet'!$B$14:$B$28="Project")*('Weekly Timesheet'!$D$14:$D$28=N27),0))),"")</f>
        <v/>
      </c>
      <c r="Q27" s="111" t="str">
        <f>IFERROR(IF(N27="","",SUMIFS('Weekly Timesheet'!$E$14:$E$28,'Weekly Timesheet'!$B$14:$B$28,"Project",'Weekly Timesheet'!$D$14:$D$28,N27)),"")</f>
        <v/>
      </c>
      <c r="R27" s="111" t="str">
        <f>IFERROR(IF(N27="","",SUMIFS('Weekly Timesheet'!$F$14:$F$28,'Weekly Timesheet'!$B$14:$B$28,"Project",'Weekly Timesheet'!$D$14:$D$28,N27)),"")</f>
        <v/>
      </c>
      <c r="S27" s="111" t="str">
        <f>IFERROR(IF(N27="","",SUMIFS('Weekly Timesheet'!$G$14:$G$28,'Weekly Timesheet'!$B$14:$B$28,"Project",'Weekly Timesheet'!$D$14:$D$28,N27)),"")</f>
        <v/>
      </c>
      <c r="T27" s="111" t="str">
        <f>IFERROR(IF(N27="","",SUMIFS('Weekly Timesheet'!$H$14:$H$28,'Weekly Timesheet'!$B$14:$B$28,"Project",'Weekly Timesheet'!$D$14:$D$28,N27)),"")</f>
        <v/>
      </c>
      <c r="U27" s="111" t="str">
        <f>IFERROR(IF(N27="","",SUMIFS('Weekly Timesheet'!$I$14:$I$28,'Weekly Timesheet'!$B$14:$B$28,"Project",'Weekly Timesheet'!$D$14:$D$28,N27)),"")</f>
        <v/>
      </c>
      <c r="V27" s="111" t="str">
        <f>IFERROR(IF(N27="","",SUMIFS('Weekly Timesheet'!$J$14:$J$28,'Weekly Timesheet'!$B$14:$B$28,"Project",'Weekly Timesheet'!$D$14:$D$28,N27)),"")</f>
        <v/>
      </c>
      <c r="W27" s="112" t="str">
        <f>IFERROR(IF(N27="","",SUMIFS('Weekly Timesheet'!$M$14:$M$28,'Weekly Timesheet'!$B$14:$B$28,"Project",'Weekly Timesheet'!$D$14:$D$28,N27)),"")</f>
        <v/>
      </c>
    </row>
    <row r="28" spans="1:23" ht="11.1" customHeight="1" outlineLevel="1" x14ac:dyDescent="0.25">
      <c r="A28" s="84"/>
      <c r="B28" s="197"/>
      <c r="C28" s="198"/>
      <c r="D28" s="199" t="s">
        <v>121</v>
      </c>
      <c r="E28" s="199"/>
      <c r="F28" s="199"/>
      <c r="G28" s="199"/>
      <c r="H28" s="195">
        <f>IFERROR(SUMIFS('Weekly Timesheet'!$M$14:$M$28,'Weekly Timesheet'!$B$14:$B$28,"Project",'Weekly Timesheet'!$C$14:$C$28,"Extra Integration"),0)</f>
        <v>0</v>
      </c>
      <c r="I28" s="195"/>
      <c r="J28" s="195"/>
      <c r="K28" s="191">
        <f>IFERROR(H28/SUMIF('Weekly Timesheet'!$B$14:$B$28,"Project",'Weekly Timesheet'!$M$14:$M$28),0)</f>
        <v>0</v>
      </c>
      <c r="L28" s="192"/>
      <c r="M28" s="84"/>
      <c r="N28" s="264" t="str" cm="1">
        <f t="array" ref="N28">IFERROR(INDEX(_xlfn._xlws.SORT(_xlfn.UNIQUE(_xlfn._xlws.FILTER('Weekly Timesheet'!$D$14:$D$28,'Weekly Timesheet'!$B$14:$B$28="Project"))),5,1),"")</f>
        <v/>
      </c>
      <c r="O28" s="265"/>
      <c r="P28" s="107" t="str" cm="1">
        <f t="array" ref="P28">IFERROR(IF(N28="","",INDEX('Weekly Timesheet'!$C$14:$C$28,MATCH(1,('Weekly Timesheet'!$B$14:$B$28="Project")*('Weekly Timesheet'!$D$14:$D$28=N28),0))),"")</f>
        <v/>
      </c>
      <c r="Q28" s="108" t="str">
        <f>IFERROR(IF(N28="","",SUMIFS('Weekly Timesheet'!$E$14:$E$28,'Weekly Timesheet'!$B$14:$B$28,"Project",'Weekly Timesheet'!$D$14:$D$28,N28)),"")</f>
        <v/>
      </c>
      <c r="R28" s="108" t="str">
        <f>IFERROR(IF(N28="","",SUMIFS('Weekly Timesheet'!$F$14:$F$28,'Weekly Timesheet'!$B$14:$B$28,"Project",'Weekly Timesheet'!$D$14:$D$28,N28)),"")</f>
        <v/>
      </c>
      <c r="S28" s="108" t="str">
        <f>IFERROR(IF(N28="","",SUMIFS('Weekly Timesheet'!$G$14:$G$28,'Weekly Timesheet'!$B$14:$B$28,"Project",'Weekly Timesheet'!$D$14:$D$28,N28)),"")</f>
        <v/>
      </c>
      <c r="T28" s="108" t="str">
        <f>IFERROR(IF(N28="","",SUMIFS('Weekly Timesheet'!$H$14:$H$28,'Weekly Timesheet'!$B$14:$B$28,"Project",'Weekly Timesheet'!$D$14:$D$28,N28)),"")</f>
        <v/>
      </c>
      <c r="U28" s="108" t="str">
        <f>IFERROR(IF(N28="","",SUMIFS('Weekly Timesheet'!$I$14:$I$28,'Weekly Timesheet'!$B$14:$B$28,"Project",'Weekly Timesheet'!$D$14:$D$28,N28)),"")</f>
        <v/>
      </c>
      <c r="V28" s="108" t="str">
        <f>IFERROR(IF(N28="","",SUMIFS('Weekly Timesheet'!$J$14:$J$28,'Weekly Timesheet'!$B$14:$B$28,"Project",'Weekly Timesheet'!$D$14:$D$28,N28)),"")</f>
        <v/>
      </c>
      <c r="W28" s="109" t="str">
        <f>IFERROR(IF(N28="","",SUMIFS('Weekly Timesheet'!$M$14:$M$28,'Weekly Timesheet'!$B$14:$B$28,"Project",'Weekly Timesheet'!$D$14:$D$28,N28)),"")</f>
        <v/>
      </c>
    </row>
    <row r="29" spans="1:23" ht="11.1" customHeight="1" outlineLevel="1" x14ac:dyDescent="0.25">
      <c r="A29" s="84"/>
      <c r="B29" s="169"/>
      <c r="C29" s="170"/>
      <c r="D29" s="171" t="s">
        <v>122</v>
      </c>
      <c r="E29" s="171"/>
      <c r="F29" s="171"/>
      <c r="G29" s="171"/>
      <c r="H29" s="162">
        <f>IFERROR(SUMIFS('Weekly Timesheet'!$M$14:$M$28,'Weekly Timesheet'!$B$14:$B$28,"Project",'Weekly Timesheet'!$C$14:$C$28,"Simulation"),0)</f>
        <v>0</v>
      </c>
      <c r="I29" s="162"/>
      <c r="J29" s="162"/>
      <c r="K29" s="172">
        <f>IFERROR(H29/SUMIF('Weekly Timesheet'!$B$14:$B$28,"Project",'Weekly Timesheet'!$M$14:$M$28),0)</f>
        <v>0</v>
      </c>
      <c r="L29" s="173"/>
      <c r="M29" s="84"/>
      <c r="N29" s="262" t="str" cm="1">
        <f t="array" ref="N29">IFERROR(INDEX(_xlfn._xlws.SORT(_xlfn.UNIQUE(_xlfn._xlws.FILTER('Weekly Timesheet'!$D$14:$D$28,'Weekly Timesheet'!$B$14:$B$28="Project"))),6,1),"")</f>
        <v/>
      </c>
      <c r="O29" s="263"/>
      <c r="P29" s="110" t="str" cm="1">
        <f t="array" ref="P29">IFERROR(IF(N29="","",INDEX('Weekly Timesheet'!$C$14:$C$28,MATCH(1,('Weekly Timesheet'!$B$14:$B$28="Project")*('Weekly Timesheet'!$D$14:$D$28=N29),0))),"")</f>
        <v/>
      </c>
      <c r="Q29" s="111" t="str">
        <f>IFERROR(IF(N29="","",SUMIFS('Weekly Timesheet'!$E$14:$E$28,'Weekly Timesheet'!$B$14:$B$28,"Project",'Weekly Timesheet'!$D$14:$D$28,N29)),"")</f>
        <v/>
      </c>
      <c r="R29" s="111" t="str">
        <f>IFERROR(IF(N29="","",SUMIFS('Weekly Timesheet'!$F$14:$F$28,'Weekly Timesheet'!$B$14:$B$28,"Project",'Weekly Timesheet'!$D$14:$D$28,N29)),"")</f>
        <v/>
      </c>
      <c r="S29" s="111" t="str">
        <f>IFERROR(IF(N29="","",SUMIFS('Weekly Timesheet'!$G$14:$G$28,'Weekly Timesheet'!$B$14:$B$28,"Project",'Weekly Timesheet'!$D$14:$D$28,N29)),"")</f>
        <v/>
      </c>
      <c r="T29" s="111" t="str">
        <f>IFERROR(IF(N29="","",SUMIFS('Weekly Timesheet'!$H$14:$H$28,'Weekly Timesheet'!$B$14:$B$28,"Project",'Weekly Timesheet'!$D$14:$D$28,N29)),"")</f>
        <v/>
      </c>
      <c r="U29" s="111" t="str">
        <f>IFERROR(IF(N29="","",SUMIFS('Weekly Timesheet'!$I$14:$I$28,'Weekly Timesheet'!$B$14:$B$28,"Project",'Weekly Timesheet'!$D$14:$D$28,N29)),"")</f>
        <v/>
      </c>
      <c r="V29" s="111" t="str">
        <f>IFERROR(IF(N29="","",SUMIFS('Weekly Timesheet'!$J$14:$J$28,'Weekly Timesheet'!$B$14:$B$28,"Project",'Weekly Timesheet'!$D$14:$D$28,N29)),"")</f>
        <v/>
      </c>
      <c r="W29" s="112" t="str">
        <f>IFERROR(IF(N29="","",SUMIFS('Weekly Timesheet'!$M$14:$M$28,'Weekly Timesheet'!$B$14:$B$28,"Project",'Weekly Timesheet'!$D$14:$D$28,N29)),"")</f>
        <v/>
      </c>
    </row>
    <row r="30" spans="1:23" ht="11.1" customHeight="1" outlineLevel="1" x14ac:dyDescent="0.25">
      <c r="A30" s="84"/>
      <c r="B30" s="197"/>
      <c r="C30" s="198"/>
      <c r="D30" s="199" t="s">
        <v>123</v>
      </c>
      <c r="E30" s="199"/>
      <c r="F30" s="199"/>
      <c r="G30" s="199"/>
      <c r="H30" s="195">
        <f>IFERROR(SUMIFS('Weekly Timesheet'!$M$14:$M$28,'Weekly Timesheet'!$B$14:$B$28,"Project",'Weekly Timesheet'!$C$14:$C$28,"Office Preparation"),0)</f>
        <v>0</v>
      </c>
      <c r="I30" s="195"/>
      <c r="J30" s="195"/>
      <c r="K30" s="191">
        <f>IFERROR(H30/SUMIF('Weekly Timesheet'!$B$14:$B$28,"Project",'Weekly Timesheet'!$M$14:$M$28),0)</f>
        <v>0</v>
      </c>
      <c r="L30" s="192"/>
      <c r="M30" s="84"/>
      <c r="N30" s="264" t="str" cm="1">
        <f t="array" ref="N30">IFERROR(INDEX(_xlfn._xlws.SORT(_xlfn.UNIQUE(_xlfn._xlws.FILTER('Weekly Timesheet'!$D$14:$D$28,'Weekly Timesheet'!$B$14:$B$28="Project"))),7,1),"")</f>
        <v/>
      </c>
      <c r="O30" s="265"/>
      <c r="P30" s="107" t="str" cm="1">
        <f t="array" ref="P30">IFERROR(IF(N30="","",INDEX('Weekly Timesheet'!$C$14:$C$28,MATCH(1,('Weekly Timesheet'!$B$14:$B$28="Project")*('Weekly Timesheet'!$D$14:$D$28=N30),0))),"")</f>
        <v/>
      </c>
      <c r="Q30" s="108" t="str">
        <f>IFERROR(IF(N30="","",SUMIFS('Weekly Timesheet'!$E$14:$E$28,'Weekly Timesheet'!$B$14:$B$28,"Project",'Weekly Timesheet'!$D$14:$D$28,N30)),"")</f>
        <v/>
      </c>
      <c r="R30" s="108" t="str">
        <f>IFERROR(IF(N30="","",SUMIFS('Weekly Timesheet'!$F$14:$F$28,'Weekly Timesheet'!$B$14:$B$28,"Project",'Weekly Timesheet'!$D$14:$D$28,N30)),"")</f>
        <v/>
      </c>
      <c r="S30" s="108" t="str">
        <f>IFERROR(IF(N30="","",SUMIFS('Weekly Timesheet'!$G$14:$G$28,'Weekly Timesheet'!$B$14:$B$28,"Project",'Weekly Timesheet'!$D$14:$D$28,N30)),"")</f>
        <v/>
      </c>
      <c r="T30" s="108" t="str">
        <f>IFERROR(IF(N30="","",SUMIFS('Weekly Timesheet'!$H$14:$H$28,'Weekly Timesheet'!$B$14:$B$28,"Project",'Weekly Timesheet'!$D$14:$D$28,N30)),"")</f>
        <v/>
      </c>
      <c r="U30" s="108" t="str">
        <f>IFERROR(IF(N30="","",SUMIFS('Weekly Timesheet'!$I$14:$I$28,'Weekly Timesheet'!$B$14:$B$28,"Project",'Weekly Timesheet'!$D$14:$D$28,N30)),"")</f>
        <v/>
      </c>
      <c r="V30" s="108" t="str">
        <f>IFERROR(IF(N30="","",SUMIFS('Weekly Timesheet'!$J$14:$J$28,'Weekly Timesheet'!$B$14:$B$28,"Project",'Weekly Timesheet'!$D$14:$D$28,N30)),"")</f>
        <v/>
      </c>
      <c r="W30" s="109" t="str">
        <f>IFERROR(IF(N30="","",SUMIFS('Weekly Timesheet'!$M$14:$M$28,'Weekly Timesheet'!$B$14:$B$28,"Project",'Weekly Timesheet'!$D$14:$D$28,N30)),"")</f>
        <v/>
      </c>
    </row>
    <row r="31" spans="1:23" ht="11.1" customHeight="1" outlineLevel="1" x14ac:dyDescent="0.25">
      <c r="A31" s="84"/>
      <c r="B31" s="169"/>
      <c r="C31" s="170"/>
      <c r="D31" s="171" t="s">
        <v>124</v>
      </c>
      <c r="E31" s="171"/>
      <c r="F31" s="171"/>
      <c r="G31" s="171"/>
      <c r="H31" s="162">
        <f>IFERROR(SUMIFS('Weekly Timesheet'!$M$14:$M$28,'Weekly Timesheet'!$B$14:$B$28,"Project",'Weekly Timesheet'!$C$14:$C$28,"Project Management"),0)</f>
        <v>0</v>
      </c>
      <c r="I31" s="162"/>
      <c r="J31" s="162"/>
      <c r="K31" s="172">
        <f>IFERROR(H31/SUMIF('Weekly Timesheet'!$B$14:$B$28,"Project",'Weekly Timesheet'!$M$14:$M$28),0)</f>
        <v>0</v>
      </c>
      <c r="L31" s="173"/>
      <c r="M31" s="84"/>
      <c r="N31" s="262" t="str" cm="1">
        <f t="array" ref="N31">IFERROR(INDEX(_xlfn._xlws.SORT(_xlfn.UNIQUE(_xlfn._xlws.FILTER('Weekly Timesheet'!$D$14:$D$28,'Weekly Timesheet'!$B$14:$B$28="Project"))),8,1),"")</f>
        <v/>
      </c>
      <c r="O31" s="263"/>
      <c r="P31" s="110" t="str" cm="1">
        <f t="array" ref="P31">IFERROR(IF(N31="","",INDEX('Weekly Timesheet'!$C$14:$C$28,MATCH(1,('Weekly Timesheet'!$B$14:$B$28="Project")*('Weekly Timesheet'!$D$14:$D$28=N31),0))),"")</f>
        <v/>
      </c>
      <c r="Q31" s="111" t="str">
        <f>IFERROR(IF(N31="","",SUMIFS('Weekly Timesheet'!$E$14:$E$28,'Weekly Timesheet'!$B$14:$B$28,"Project",'Weekly Timesheet'!$D$14:$D$28,N31)),"")</f>
        <v/>
      </c>
      <c r="R31" s="111" t="str">
        <f>IFERROR(IF(N31="","",SUMIFS('Weekly Timesheet'!$F$14:$F$28,'Weekly Timesheet'!$B$14:$B$28,"Project",'Weekly Timesheet'!$D$14:$D$28,N31)),"")</f>
        <v/>
      </c>
      <c r="S31" s="111" t="str">
        <f>IFERROR(IF(N31="","",SUMIFS('Weekly Timesheet'!$G$14:$G$28,'Weekly Timesheet'!$B$14:$B$28,"Project",'Weekly Timesheet'!$D$14:$D$28,N31)),"")</f>
        <v/>
      </c>
      <c r="T31" s="111" t="str">
        <f>IFERROR(IF(N31="","",SUMIFS('Weekly Timesheet'!$H$14:$H$28,'Weekly Timesheet'!$B$14:$B$28,"Project",'Weekly Timesheet'!$D$14:$D$28,N31)),"")</f>
        <v/>
      </c>
      <c r="U31" s="111" t="str">
        <f>IFERROR(IF(N31="","",SUMIFS('Weekly Timesheet'!$I$14:$I$28,'Weekly Timesheet'!$B$14:$B$28,"Project",'Weekly Timesheet'!$D$14:$D$28,N31)),"")</f>
        <v/>
      </c>
      <c r="V31" s="111" t="str">
        <f>IFERROR(IF(N31="","",SUMIFS('Weekly Timesheet'!$J$14:$J$28,'Weekly Timesheet'!$B$14:$B$28,"Project",'Weekly Timesheet'!$D$14:$D$28,N31)),"")</f>
        <v/>
      </c>
      <c r="W31" s="112" t="str">
        <f>IFERROR(IF(N31="","",SUMIFS('Weekly Timesheet'!$M$14:$M$28,'Weekly Timesheet'!$B$14:$B$28,"Project",'Weekly Timesheet'!$D$14:$D$28,N31)),"")</f>
        <v/>
      </c>
    </row>
    <row r="32" spans="1:23" ht="11.1" customHeight="1" outlineLevel="1" x14ac:dyDescent="0.25">
      <c r="A32" s="84"/>
      <c r="B32" s="197"/>
      <c r="C32" s="198"/>
      <c r="D32" s="199" t="s">
        <v>125</v>
      </c>
      <c r="E32" s="199"/>
      <c r="F32" s="199"/>
      <c r="G32" s="199"/>
      <c r="H32" s="195">
        <f>IFERROR(SUMIFS('Weekly Timesheet'!$M$14:$M$28,'Weekly Timesheet'!$B$14:$B$28,"Project",'Weekly Timesheet'!$C$14:$C$28,"Engineering Work"),0)</f>
        <v>0</v>
      </c>
      <c r="I32" s="195"/>
      <c r="J32" s="195"/>
      <c r="K32" s="191">
        <f>IFERROR(H32/SUMIF('Weekly Timesheet'!$B$14:$B$28,"Project",'Weekly Timesheet'!$M$14:$M$28),0)</f>
        <v>0</v>
      </c>
      <c r="L32" s="192"/>
      <c r="M32" s="84"/>
      <c r="N32" s="264" t="str" cm="1">
        <f t="array" ref="N32">IFERROR(INDEX(_xlfn._xlws.SORT(_xlfn.UNIQUE(_xlfn._xlws.FILTER('Weekly Timesheet'!$D$14:$D$28,'Weekly Timesheet'!$B$14:$B$28="Project"))),9,1),"")</f>
        <v/>
      </c>
      <c r="O32" s="265"/>
      <c r="P32" s="107" t="str" cm="1">
        <f t="array" ref="P32">IFERROR(IF(N32="","",INDEX('Weekly Timesheet'!$C$14:$C$28,MATCH(1,('Weekly Timesheet'!$B$14:$B$28="Project")*('Weekly Timesheet'!$D$14:$D$28=N32),0))),"")</f>
        <v/>
      </c>
      <c r="Q32" s="108" t="str">
        <f>IFERROR(IF(N32="","",SUMIFS('Weekly Timesheet'!$E$14:$E$28,'Weekly Timesheet'!$B$14:$B$28,"Project",'Weekly Timesheet'!$D$14:$D$28,N32)),"")</f>
        <v/>
      </c>
      <c r="R32" s="108" t="str">
        <f>IFERROR(IF(N32="","",SUMIFS('Weekly Timesheet'!$F$14:$F$28,'Weekly Timesheet'!$B$14:$B$28,"Project",'Weekly Timesheet'!$D$14:$D$28,N32)),"")</f>
        <v/>
      </c>
      <c r="S32" s="108" t="str">
        <f>IFERROR(IF(N32="","",SUMIFS('Weekly Timesheet'!$G$14:$G$28,'Weekly Timesheet'!$B$14:$B$28,"Project",'Weekly Timesheet'!$D$14:$D$28,N32)),"")</f>
        <v/>
      </c>
      <c r="T32" s="108" t="str">
        <f>IFERROR(IF(N32="","",SUMIFS('Weekly Timesheet'!$H$14:$H$28,'Weekly Timesheet'!$B$14:$B$28,"Project",'Weekly Timesheet'!$D$14:$D$28,N32)),"")</f>
        <v/>
      </c>
      <c r="U32" s="108" t="str">
        <f>IFERROR(IF(N32="","",SUMIFS('Weekly Timesheet'!$I$14:$I$28,'Weekly Timesheet'!$B$14:$B$28,"Project",'Weekly Timesheet'!$D$14:$D$28,N32)),"")</f>
        <v/>
      </c>
      <c r="V32" s="108" t="str">
        <f>IFERROR(IF(N32="","",SUMIFS('Weekly Timesheet'!$J$14:$J$28,'Weekly Timesheet'!$B$14:$B$28,"Project",'Weekly Timesheet'!$D$14:$D$28,N32)),"")</f>
        <v/>
      </c>
      <c r="W32" s="109" t="str">
        <f>IFERROR(IF(N32="","",SUMIFS('Weekly Timesheet'!$M$14:$M$28,'Weekly Timesheet'!$B$14:$B$28,"Project",'Weekly Timesheet'!$D$14:$D$28,N32)),"")</f>
        <v/>
      </c>
    </row>
    <row r="33" spans="1:23" ht="11.1" customHeight="1" x14ac:dyDescent="0.25">
      <c r="A33" s="84"/>
      <c r="B33" s="200" t="s">
        <v>109</v>
      </c>
      <c r="C33" s="201"/>
      <c r="D33" s="202" t="s">
        <v>126</v>
      </c>
      <c r="E33" s="202"/>
      <c r="F33" s="202"/>
      <c r="G33" s="202"/>
      <c r="H33" s="196">
        <f>IFERROR(SUMIFS('Weekly Timesheet'!$M$14:$M$28,'Weekly Timesheet'!$B$14:$B$28,"Admin",'Weekly Timesheet'!$C$14:$C$28,"Overtime Taken"),0)</f>
        <v>0</v>
      </c>
      <c r="I33" s="196"/>
      <c r="J33" s="196"/>
      <c r="K33" s="203">
        <f>IFERROR(H33/SUMIF('Weekly Timesheet'!$B$14:$B$28,"Admin",'Weekly Timesheet'!$M$14:$M$28),0)</f>
        <v>0</v>
      </c>
      <c r="L33" s="204"/>
      <c r="M33" s="84"/>
      <c r="N33" s="262" t="str" cm="1">
        <f t="array" ref="N33">IFERROR(INDEX(_xlfn._xlws.SORT(_xlfn.UNIQUE(_xlfn._xlws.FILTER('Weekly Timesheet'!$D$14:$D$28,'Weekly Timesheet'!$B$14:$B$28="Project"))),10,1),"")</f>
        <v/>
      </c>
      <c r="O33" s="263"/>
      <c r="P33" s="110" t="str" cm="1">
        <f t="array" ref="P33">IFERROR(IF(N33="","",INDEX('Weekly Timesheet'!$C$14:$C$28,MATCH(1,('Weekly Timesheet'!$B$14:$B$28="Project")*('Weekly Timesheet'!$D$14:$D$28=N33),0))),"")</f>
        <v/>
      </c>
      <c r="Q33" s="111" t="str">
        <f>IFERROR(IF(N33="","",SUMIFS('Weekly Timesheet'!$E$14:$E$28,'Weekly Timesheet'!$B$14:$B$28,"Project",'Weekly Timesheet'!$D$14:$D$28,N33)),"")</f>
        <v/>
      </c>
      <c r="R33" s="111" t="str">
        <f>IFERROR(IF(N33="","",SUMIFS('Weekly Timesheet'!$F$14:$F$28,'Weekly Timesheet'!$B$14:$B$28,"Project",'Weekly Timesheet'!$D$14:$D$28,N33)),"")</f>
        <v/>
      </c>
      <c r="S33" s="111" t="str">
        <f>IFERROR(IF(N33="","",SUMIFS('Weekly Timesheet'!$G$14:$G$28,'Weekly Timesheet'!$B$14:$B$28,"Project",'Weekly Timesheet'!$D$14:$D$28,N33)),"")</f>
        <v/>
      </c>
      <c r="T33" s="111" t="str">
        <f>IFERROR(IF(N33="","",SUMIFS('Weekly Timesheet'!$H$14:$H$28,'Weekly Timesheet'!$B$14:$B$28,"Project",'Weekly Timesheet'!$D$14:$D$28,N33)),"")</f>
        <v/>
      </c>
      <c r="U33" s="111" t="str">
        <f>IFERROR(IF(N33="","",SUMIFS('Weekly Timesheet'!$I$14:$I$28,'Weekly Timesheet'!$B$14:$B$28,"Project",'Weekly Timesheet'!$D$14:$D$28,N33)),"")</f>
        <v/>
      </c>
      <c r="V33" s="111" t="str">
        <f>IFERROR(IF(N33="","",SUMIFS('Weekly Timesheet'!$J$14:$J$28,'Weekly Timesheet'!$B$14:$B$28,"Project",'Weekly Timesheet'!$D$14:$D$28,N33)),"")</f>
        <v/>
      </c>
      <c r="W33" s="112" t="str">
        <f>IFERROR(IF(N33="","",SUMIFS('Weekly Timesheet'!$M$14:$M$28,'Weekly Timesheet'!$B$14:$B$28,"Project",'Weekly Timesheet'!$D$14:$D$28,N33)),"")</f>
        <v/>
      </c>
    </row>
    <row r="34" spans="1:23" ht="11.1" customHeight="1" outlineLevel="1" x14ac:dyDescent="0.25">
      <c r="A34" s="84"/>
      <c r="B34" s="169"/>
      <c r="C34" s="170"/>
      <c r="D34" s="171" t="s">
        <v>127</v>
      </c>
      <c r="E34" s="171"/>
      <c r="F34" s="171"/>
      <c r="G34" s="171"/>
      <c r="H34" s="162">
        <f>IFERROR(SUMIFS('Weekly Timesheet'!$M$14:$M$28,'Weekly Timesheet'!$B$14:$B$28,"Admin",'Weekly Timesheet'!$C$14:$C$28,"TIL Payout"),0)</f>
        <v>20</v>
      </c>
      <c r="I34" s="162"/>
      <c r="J34" s="162"/>
      <c r="K34" s="172">
        <f>IFERROR(H34/SUMIF('Weekly Timesheet'!$B$14:$B$28,"Admin",'Weekly Timesheet'!$M$14:$M$28),0)</f>
        <v>0.68965517241379315</v>
      </c>
      <c r="L34" s="173"/>
      <c r="M34" s="84"/>
      <c r="N34" s="264" t="str" cm="1">
        <f t="array" ref="N34">IFERROR(INDEX(_xlfn._xlws.SORT(_xlfn.UNIQUE(_xlfn._xlws.FILTER('Weekly Timesheet'!$D$14:$D$28,'Weekly Timesheet'!$B$14:$B$28="Project"))),11,1),"")</f>
        <v/>
      </c>
      <c r="O34" s="265"/>
      <c r="P34" s="107" t="str" cm="1">
        <f t="array" ref="P34">IFERROR(IF(N34="","",INDEX('Weekly Timesheet'!$C$14:$C$28,MATCH(1,('Weekly Timesheet'!$B$14:$B$28="Project")*('Weekly Timesheet'!$D$14:$D$28=N34),0))),"")</f>
        <v/>
      </c>
      <c r="Q34" s="108" t="str">
        <f>IFERROR(IF(N34="","",SUMIFS('Weekly Timesheet'!$E$14:$E$28,'Weekly Timesheet'!$B$14:$B$28,"Project",'Weekly Timesheet'!$D$14:$D$28,N34)),"")</f>
        <v/>
      </c>
      <c r="R34" s="108" t="str">
        <f>IFERROR(IF(N34="","",SUMIFS('Weekly Timesheet'!$F$14:$F$28,'Weekly Timesheet'!$B$14:$B$28,"Project",'Weekly Timesheet'!$D$14:$D$28,N34)),"")</f>
        <v/>
      </c>
      <c r="S34" s="108" t="str">
        <f>IFERROR(IF(N34="","",SUMIFS('Weekly Timesheet'!$G$14:$G$28,'Weekly Timesheet'!$B$14:$B$28,"Project",'Weekly Timesheet'!$D$14:$D$28,N34)),"")</f>
        <v/>
      </c>
      <c r="T34" s="108" t="str">
        <f>IFERROR(IF(N34="","",SUMIFS('Weekly Timesheet'!$H$14:$H$28,'Weekly Timesheet'!$B$14:$B$28,"Project",'Weekly Timesheet'!$D$14:$D$28,N34)),"")</f>
        <v/>
      </c>
      <c r="U34" s="108" t="str">
        <f>IFERROR(IF(N34="","",SUMIFS('Weekly Timesheet'!$I$14:$I$28,'Weekly Timesheet'!$B$14:$B$28,"Project",'Weekly Timesheet'!$D$14:$D$28,N34)),"")</f>
        <v/>
      </c>
      <c r="V34" s="108" t="str">
        <f>IFERROR(IF(N34="","",SUMIFS('Weekly Timesheet'!$J$14:$J$28,'Weekly Timesheet'!$B$14:$B$28,"Project",'Weekly Timesheet'!$D$14:$D$28,N34)),"")</f>
        <v/>
      </c>
      <c r="W34" s="109" t="str">
        <f>IFERROR(IF(N34="","",SUMIFS('Weekly Timesheet'!$M$14:$M$28,'Weekly Timesheet'!$B$14:$B$28,"Project",'Weekly Timesheet'!$D$14:$D$28,N34)),"")</f>
        <v/>
      </c>
    </row>
    <row r="35" spans="1:23" ht="11.1" customHeight="1" outlineLevel="1" x14ac:dyDescent="0.25">
      <c r="A35" s="84"/>
      <c r="B35" s="181"/>
      <c r="C35" s="182"/>
      <c r="D35" s="183" t="s">
        <v>128</v>
      </c>
      <c r="E35" s="183"/>
      <c r="F35" s="183"/>
      <c r="G35" s="183"/>
      <c r="H35" s="179">
        <f>IFERROR(SUMIFS('Weekly Timesheet'!$M$14:$M$28,'Weekly Timesheet'!$B$14:$B$28,"Admin",'Weekly Timesheet'!$C$14:$C$28,"Sick Time"),0)</f>
        <v>0</v>
      </c>
      <c r="I35" s="179"/>
      <c r="J35" s="179"/>
      <c r="K35" s="184">
        <f>IFERROR(H35/SUMIF('Weekly Timesheet'!$B$14:$B$28,"Admin",'Weekly Timesheet'!$M$14:$M$28),0)</f>
        <v>0</v>
      </c>
      <c r="L35" s="185"/>
      <c r="M35" s="84"/>
      <c r="N35" s="262" t="str" cm="1">
        <f t="array" ref="N35">IFERROR(INDEX(_xlfn._xlws.SORT(_xlfn.UNIQUE(_xlfn._xlws.FILTER('Weekly Timesheet'!$D$14:$D$28,'Weekly Timesheet'!$B$14:$B$28="Project"))),12,1),"")</f>
        <v/>
      </c>
      <c r="O35" s="263"/>
      <c r="P35" s="110" t="str" cm="1">
        <f t="array" ref="P35">IFERROR(IF(N35="","",INDEX('Weekly Timesheet'!$C$14:$C$28,MATCH(1,('Weekly Timesheet'!$B$14:$B$28="Project")*('Weekly Timesheet'!$D$14:$D$28=N35),0))),"")</f>
        <v/>
      </c>
      <c r="Q35" s="111" t="str">
        <f>IFERROR(IF(N35="","",SUMIFS('Weekly Timesheet'!$E$14:$E$28,'Weekly Timesheet'!$B$14:$B$28,"Project",'Weekly Timesheet'!$D$14:$D$28,N35)),"")</f>
        <v/>
      </c>
      <c r="R35" s="111" t="str">
        <f>IFERROR(IF(N35="","",SUMIFS('Weekly Timesheet'!$F$14:$F$28,'Weekly Timesheet'!$B$14:$B$28,"Project",'Weekly Timesheet'!$D$14:$D$28,N35)),"")</f>
        <v/>
      </c>
      <c r="S35" s="111" t="str">
        <f>IFERROR(IF(N35="","",SUMIFS('Weekly Timesheet'!$G$14:$G$28,'Weekly Timesheet'!$B$14:$B$28,"Project",'Weekly Timesheet'!$D$14:$D$28,N35)),"")</f>
        <v/>
      </c>
      <c r="T35" s="111" t="str">
        <f>IFERROR(IF(N35="","",SUMIFS('Weekly Timesheet'!$H$14:$H$28,'Weekly Timesheet'!$B$14:$B$28,"Project",'Weekly Timesheet'!$D$14:$D$28,N35)),"")</f>
        <v/>
      </c>
      <c r="U35" s="111" t="str">
        <f>IFERROR(IF(N35="","",SUMIFS('Weekly Timesheet'!$I$14:$I$28,'Weekly Timesheet'!$B$14:$B$28,"Project",'Weekly Timesheet'!$D$14:$D$28,N35)),"")</f>
        <v/>
      </c>
      <c r="V35" s="111" t="str">
        <f>IFERROR(IF(N35="","",SUMIFS('Weekly Timesheet'!$J$14:$J$28,'Weekly Timesheet'!$B$14:$B$28,"Project",'Weekly Timesheet'!$D$14:$D$28,N35)),"")</f>
        <v/>
      </c>
      <c r="W35" s="112" t="str">
        <f>IFERROR(IF(N35="","",SUMIFS('Weekly Timesheet'!$M$14:$M$28,'Weekly Timesheet'!$B$14:$B$28,"Project",'Weekly Timesheet'!$D$14:$D$28,N35)),"")</f>
        <v/>
      </c>
    </row>
    <row r="36" spans="1:23" ht="11.1" customHeight="1" outlineLevel="1" x14ac:dyDescent="0.25">
      <c r="A36" s="84"/>
      <c r="B36" s="169"/>
      <c r="C36" s="170"/>
      <c r="D36" s="171" t="s">
        <v>129</v>
      </c>
      <c r="E36" s="171"/>
      <c r="F36" s="171"/>
      <c r="G36" s="171"/>
      <c r="H36" s="162">
        <f>IFERROR(SUMIFS('Weekly Timesheet'!$M$14:$M$28,'Weekly Timesheet'!$B$14:$B$28,"Admin",'Weekly Timesheet'!$C$14:$C$28,"Vacation Hours"),0)</f>
        <v>0</v>
      </c>
      <c r="I36" s="162"/>
      <c r="J36" s="162"/>
      <c r="K36" s="172">
        <f>IFERROR(H36/SUMIF('Weekly Timesheet'!$B$14:$B$28,"Admin",'Weekly Timesheet'!$M$14:$M$28),0)</f>
        <v>0</v>
      </c>
      <c r="L36" s="173"/>
      <c r="M36" s="84"/>
      <c r="N36" s="264" t="str" cm="1">
        <f t="array" ref="N36">IFERROR(INDEX(_xlfn._xlws.SORT(_xlfn.UNIQUE(_xlfn._xlws.FILTER('Weekly Timesheet'!$D$14:$D$28,'Weekly Timesheet'!$B$14:$B$28="Project"))),13,1),"")</f>
        <v/>
      </c>
      <c r="O36" s="265"/>
      <c r="P36" s="107" t="str" cm="1">
        <f t="array" ref="P36">IFERROR(IF(N36="","",INDEX('Weekly Timesheet'!$C$14:$C$28,MATCH(1,('Weekly Timesheet'!$B$14:$B$28="Project")*('Weekly Timesheet'!$D$14:$D$28=N36),0))),"")</f>
        <v/>
      </c>
      <c r="Q36" s="108" t="str">
        <f>IFERROR(IF(N36="","",SUMIFS('Weekly Timesheet'!$E$14:$E$28,'Weekly Timesheet'!$B$14:$B$28,"Project",'Weekly Timesheet'!$D$14:$D$28,N36)),"")</f>
        <v/>
      </c>
      <c r="R36" s="108" t="str">
        <f>IFERROR(IF(N36="","",SUMIFS('Weekly Timesheet'!$F$14:$F$28,'Weekly Timesheet'!$B$14:$B$28,"Project",'Weekly Timesheet'!$D$14:$D$28,N36)),"")</f>
        <v/>
      </c>
      <c r="S36" s="108" t="str">
        <f>IFERROR(IF(N36="","",SUMIFS('Weekly Timesheet'!$G$14:$G$28,'Weekly Timesheet'!$B$14:$B$28,"Project",'Weekly Timesheet'!$D$14:$D$28,N36)),"")</f>
        <v/>
      </c>
      <c r="T36" s="108" t="str">
        <f>IFERROR(IF(N36="","",SUMIFS('Weekly Timesheet'!$H$14:$H$28,'Weekly Timesheet'!$B$14:$B$28,"Project",'Weekly Timesheet'!$D$14:$D$28,N36)),"")</f>
        <v/>
      </c>
      <c r="U36" s="108" t="str">
        <f>IFERROR(IF(N36="","",SUMIFS('Weekly Timesheet'!$I$14:$I$28,'Weekly Timesheet'!$B$14:$B$28,"Project",'Weekly Timesheet'!$D$14:$D$28,N36)),"")</f>
        <v/>
      </c>
      <c r="V36" s="108" t="str">
        <f>IFERROR(IF(N36="","",SUMIFS('Weekly Timesheet'!$J$14:$J$28,'Weekly Timesheet'!$B$14:$B$28,"Project",'Weekly Timesheet'!$D$14:$D$28,N36)),"")</f>
        <v/>
      </c>
      <c r="W36" s="109" t="str">
        <f>IFERROR(IF(N36="","",SUMIFS('Weekly Timesheet'!$M$14:$M$28,'Weekly Timesheet'!$B$14:$B$28,"Project",'Weekly Timesheet'!$D$14:$D$28,N36)),"")</f>
        <v/>
      </c>
    </row>
    <row r="37" spans="1:23" ht="11.1" customHeight="1" outlineLevel="1" x14ac:dyDescent="0.25">
      <c r="A37" s="84"/>
      <c r="B37" s="181"/>
      <c r="C37" s="182"/>
      <c r="D37" s="183" t="s">
        <v>130</v>
      </c>
      <c r="E37" s="183"/>
      <c r="F37" s="183"/>
      <c r="G37" s="183"/>
      <c r="H37" s="179">
        <f>IFERROR(SUMIFS('Weekly Timesheet'!$M$14:$M$28,'Weekly Timesheet'!$B$14:$B$28,"Admin",'Weekly Timesheet'!$C$14:$C$28,"Statutory Holiday"),0)</f>
        <v>8</v>
      </c>
      <c r="I37" s="179"/>
      <c r="J37" s="179"/>
      <c r="K37" s="184">
        <f>IFERROR(H37/SUMIF('Weekly Timesheet'!$B$14:$B$28,"Admin",'Weekly Timesheet'!$M$14:$M$28),0)</f>
        <v>0.27586206896551724</v>
      </c>
      <c r="L37" s="185"/>
      <c r="M37" s="84"/>
      <c r="N37" s="262" t="str" cm="1">
        <f t="array" ref="N37">IFERROR(INDEX(_xlfn._xlws.SORT(_xlfn.UNIQUE(_xlfn._xlws.FILTER('Weekly Timesheet'!$D$14:$D$28,'Weekly Timesheet'!$B$14:$B$28="Project"))),14,1),"")</f>
        <v/>
      </c>
      <c r="O37" s="263"/>
      <c r="P37" s="110" t="str" cm="1">
        <f t="array" ref="P37">IFERROR(IF(N37="","",INDEX('Weekly Timesheet'!$C$14:$C$28,MATCH(1,('Weekly Timesheet'!$B$14:$B$28="Project")*('Weekly Timesheet'!$D$14:$D$28=N37),0))),"")</f>
        <v/>
      </c>
      <c r="Q37" s="111" t="str">
        <f>IFERROR(IF(N37="","",SUMIFS('Weekly Timesheet'!$E$14:$E$28,'Weekly Timesheet'!$B$14:$B$28,"Project",'Weekly Timesheet'!$D$14:$D$28,N37)),"")</f>
        <v/>
      </c>
      <c r="R37" s="111" t="str">
        <f>IFERROR(IF(N37="","",SUMIFS('Weekly Timesheet'!$F$14:$F$28,'Weekly Timesheet'!$B$14:$B$28,"Project",'Weekly Timesheet'!$D$14:$D$28,N37)),"")</f>
        <v/>
      </c>
      <c r="S37" s="111" t="str">
        <f>IFERROR(IF(N37="","",SUMIFS('Weekly Timesheet'!$G$14:$G$28,'Weekly Timesheet'!$B$14:$B$28,"Project",'Weekly Timesheet'!$D$14:$D$28,N37)),"")</f>
        <v/>
      </c>
      <c r="T37" s="111" t="str">
        <f>IFERROR(IF(N37="","",SUMIFS('Weekly Timesheet'!$H$14:$H$28,'Weekly Timesheet'!$B$14:$B$28,"Project",'Weekly Timesheet'!$D$14:$D$28,N37)),"")</f>
        <v/>
      </c>
      <c r="U37" s="111" t="str">
        <f>IFERROR(IF(N37="","",SUMIFS('Weekly Timesheet'!$I$14:$I$28,'Weekly Timesheet'!$B$14:$B$28,"Project",'Weekly Timesheet'!$D$14:$D$28,N37)),"")</f>
        <v/>
      </c>
      <c r="V37" s="111" t="str">
        <f>IFERROR(IF(N37="","",SUMIFS('Weekly Timesheet'!$J$14:$J$28,'Weekly Timesheet'!$B$14:$B$28,"Project",'Weekly Timesheet'!$D$14:$D$28,N37)),"")</f>
        <v/>
      </c>
      <c r="W37" s="112" t="str">
        <f>IFERROR(IF(N37="","",SUMIFS('Weekly Timesheet'!$M$14:$M$28,'Weekly Timesheet'!$B$14:$B$28,"Project",'Weekly Timesheet'!$D$14:$D$28,N37)),"")</f>
        <v/>
      </c>
    </row>
    <row r="38" spans="1:23" ht="11.1" customHeight="1" outlineLevel="1" x14ac:dyDescent="0.25">
      <c r="A38" s="84"/>
      <c r="B38" s="169"/>
      <c r="C38" s="170"/>
      <c r="D38" s="171" t="s">
        <v>131</v>
      </c>
      <c r="E38" s="171"/>
      <c r="F38" s="171"/>
      <c r="G38" s="171"/>
      <c r="H38" s="162">
        <f>IFERROR(SUMIFS('Weekly Timesheet'!$M$14:$M$28,'Weekly Timesheet'!$B$14:$B$28,"Admin",'Weekly Timesheet'!$C$14:$C$28,"Administrative"),0)</f>
        <v>0</v>
      </c>
      <c r="I38" s="162"/>
      <c r="J38" s="162"/>
      <c r="K38" s="172">
        <f>IFERROR(H38/SUMIF('Weekly Timesheet'!$B$14:$B$28,"Admin",'Weekly Timesheet'!$M$14:$M$28),0)</f>
        <v>0</v>
      </c>
      <c r="L38" s="173"/>
      <c r="M38" s="84"/>
      <c r="N38" s="264" t="str" cm="1">
        <f t="array" ref="N38">IFERROR(INDEX(_xlfn._xlws.SORT(_xlfn.UNIQUE(_xlfn._xlws.FILTER('Weekly Timesheet'!$D$14:$D$28,'Weekly Timesheet'!$B$14:$B$28="Project"))),15,1),"")</f>
        <v/>
      </c>
      <c r="O38" s="265"/>
      <c r="P38" s="107" t="str" cm="1">
        <f t="array" ref="P38">IFERROR(IF(N38="","",INDEX('Weekly Timesheet'!$C$14:$C$28,MATCH(1,('Weekly Timesheet'!$B$14:$B$28="Project")*('Weekly Timesheet'!$D$14:$D$28=N38),0))),"")</f>
        <v/>
      </c>
      <c r="Q38" s="108" t="str">
        <f>IFERROR(IF(N38="","",SUMIFS('Weekly Timesheet'!$E$14:$E$28,'Weekly Timesheet'!$B$14:$B$28,"Project",'Weekly Timesheet'!$D$14:$D$28,N38)),"")</f>
        <v/>
      </c>
      <c r="R38" s="108" t="str">
        <f>IFERROR(IF(N38="","",SUMIFS('Weekly Timesheet'!$F$14:$F$28,'Weekly Timesheet'!$B$14:$B$28,"Project",'Weekly Timesheet'!$D$14:$D$28,N38)),"")</f>
        <v/>
      </c>
      <c r="S38" s="108" t="str">
        <f>IFERROR(IF(N38="","",SUMIFS('Weekly Timesheet'!$G$14:$G$28,'Weekly Timesheet'!$B$14:$B$28,"Project",'Weekly Timesheet'!$D$14:$D$28,N38)),"")</f>
        <v/>
      </c>
      <c r="T38" s="108" t="str">
        <f>IFERROR(IF(N38="","",SUMIFS('Weekly Timesheet'!$H$14:$H$28,'Weekly Timesheet'!$B$14:$B$28,"Project",'Weekly Timesheet'!$D$14:$D$28,N38)),"")</f>
        <v/>
      </c>
      <c r="U38" s="108" t="str">
        <f>IFERROR(IF(N38="","",SUMIFS('Weekly Timesheet'!$I$14:$I$28,'Weekly Timesheet'!$B$14:$B$28,"Project",'Weekly Timesheet'!$D$14:$D$28,N38)),"")</f>
        <v/>
      </c>
      <c r="V38" s="108" t="str">
        <f>IFERROR(IF(N38="","",SUMIFS('Weekly Timesheet'!$J$14:$J$28,'Weekly Timesheet'!$B$14:$B$28,"Project",'Weekly Timesheet'!$D$14:$D$28,N38)),"")</f>
        <v/>
      </c>
      <c r="W38" s="109" t="str">
        <f>IFERROR(IF(N38="","",SUMIFS('Weekly Timesheet'!$M$14:$M$28,'Weekly Timesheet'!$B$14:$B$28,"Project",'Weekly Timesheet'!$D$14:$D$28,N38)),"")</f>
        <v/>
      </c>
    </row>
    <row r="39" spans="1:23" ht="12" customHeight="1" outlineLevel="1" x14ac:dyDescent="0.25">
      <c r="A39" s="84"/>
      <c r="B39" s="181"/>
      <c r="C39" s="182"/>
      <c r="D39" s="183" t="s">
        <v>132</v>
      </c>
      <c r="E39" s="183"/>
      <c r="F39" s="183"/>
      <c r="G39" s="183"/>
      <c r="H39" s="179">
        <f>IFERROR(SUMIFS('Weekly Timesheet'!$M$14:$M$28,'Weekly Timesheet'!$B$14:$B$28,"Admin",'Weekly Timesheet'!$C$14:$C$28,"Toolbox Meeting"),0)</f>
        <v>1</v>
      </c>
      <c r="I39" s="179"/>
      <c r="J39" s="179"/>
      <c r="K39" s="184">
        <f>IFERROR(H39/SUMIF('Weekly Timesheet'!$B$14:$B$28,"Admin",'Weekly Timesheet'!$M$14:$M$28),0)</f>
        <v>3.4482758620689655E-2</v>
      </c>
      <c r="L39" s="185"/>
      <c r="M39" s="84"/>
      <c r="N39" s="270" t="s">
        <v>143</v>
      </c>
      <c r="O39" s="271"/>
      <c r="P39" s="271"/>
      <c r="Q39" s="113">
        <f>IFERROR(SUMIF('Weekly Timesheet'!$B$14:$B$28,"Project",'Weekly Timesheet'!$E$14:$E$28),0)</f>
        <v>8</v>
      </c>
      <c r="R39" s="113">
        <f>IFERROR(SUMIF('Weekly Timesheet'!$B$14:$B$28,"Project",'Weekly Timesheet'!$F$14:$F$28),0)</f>
        <v>0</v>
      </c>
      <c r="S39" s="113">
        <f>IFERROR(SUMIF('Weekly Timesheet'!$B$14:$B$28,"Project",'Weekly Timesheet'!$G$14:$G$28),0)</f>
        <v>0</v>
      </c>
      <c r="T39" s="113">
        <f>IFERROR(SUMIF('Weekly Timesheet'!$B$14:$B$28,"Project",'Weekly Timesheet'!$H$14:$H$28),0)</f>
        <v>2</v>
      </c>
      <c r="U39" s="113">
        <f>IFERROR(SUMIF('Weekly Timesheet'!$B$14:$B$28,"Project",'Weekly Timesheet'!$I$14:$I$28),0)</f>
        <v>0</v>
      </c>
      <c r="V39" s="113">
        <f>IFERROR(SUMIF('Weekly Timesheet'!$B$14:$B$28,"Project",'Weekly Timesheet'!$J$14:$J$28),0)</f>
        <v>0</v>
      </c>
      <c r="W39" s="114">
        <f>IFERROR(SUMIF('Weekly Timesheet'!$B$14:$B$28,"Project",'Weekly Timesheet'!$M$14:$M$28),0)</f>
        <v>10</v>
      </c>
    </row>
    <row r="40" spans="1:23" ht="11.1" customHeight="1" x14ac:dyDescent="0.25">
      <c r="A40" s="84"/>
      <c r="B40" s="186" t="s">
        <v>110</v>
      </c>
      <c r="C40" s="187"/>
      <c r="D40" s="188" t="s">
        <v>133</v>
      </c>
      <c r="E40" s="188"/>
      <c r="F40" s="188"/>
      <c r="G40" s="188"/>
      <c r="H40" s="180">
        <f>IFERROR(SUMIFS('Weekly Timesheet'!$M$14:$M$28,'Weekly Timesheet'!$B$14:$B$28,"Office &amp; Sales",'Weekly Timesheet'!$C$14:$C$28,"Customer Contact"),0)</f>
        <v>0</v>
      </c>
      <c r="I40" s="180"/>
      <c r="J40" s="180"/>
      <c r="K40" s="189">
        <f>IFERROR(H40/SUMIF('Weekly Timesheet'!$B$14:$B$28,"Office &amp; Sales",'Weekly Timesheet'!$M$14:$M$28),0)</f>
        <v>0</v>
      </c>
      <c r="L40" s="190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</row>
    <row r="41" spans="1:23" ht="11.1" customHeight="1" outlineLevel="1" x14ac:dyDescent="0.25">
      <c r="A41" s="84"/>
      <c r="B41" s="169"/>
      <c r="C41" s="170"/>
      <c r="D41" s="171" t="s">
        <v>134</v>
      </c>
      <c r="E41" s="171"/>
      <c r="F41" s="171"/>
      <c r="G41" s="171"/>
      <c r="H41" s="162">
        <f>IFERROR(SUMIFS('Weekly Timesheet'!$M$14:$M$28,'Weekly Timesheet'!$B$14:$B$28,"Office &amp; Sales",'Weekly Timesheet'!$C$14:$C$28,"Project Development"),0)</f>
        <v>0</v>
      </c>
      <c r="I41" s="162"/>
      <c r="J41" s="162"/>
      <c r="K41" s="172">
        <f>IFERROR(H41/SUMIF('Weekly Timesheet'!$B$14:$B$28,"Office &amp; Sales",'Weekly Timesheet'!$M$14:$M$28),0)</f>
        <v>0</v>
      </c>
      <c r="L41" s="173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</row>
    <row r="42" spans="1:23" ht="11.1" customHeight="1" outlineLevel="1" x14ac:dyDescent="0.25">
      <c r="A42" s="84"/>
      <c r="B42" s="164"/>
      <c r="C42" s="165"/>
      <c r="D42" s="166" t="s">
        <v>135</v>
      </c>
      <c r="E42" s="166"/>
      <c r="F42" s="166"/>
      <c r="G42" s="166"/>
      <c r="H42" s="161">
        <f>IFERROR(SUMIFS('Weekly Timesheet'!$M$14:$M$28,'Weekly Timesheet'!$B$14:$B$28,"Office &amp; Sales",'Weekly Timesheet'!$C$14:$C$28,"Proposals &amp; Quotes"),0)</f>
        <v>0</v>
      </c>
      <c r="I42" s="161"/>
      <c r="J42" s="161"/>
      <c r="K42" s="167">
        <f>IFERROR(H42/SUMIF('Weekly Timesheet'!$B$14:$B$28,"Office &amp; Sales",'Weekly Timesheet'!$M$14:$M$28),0)</f>
        <v>0</v>
      </c>
      <c r="L42" s="168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</row>
    <row r="43" spans="1:23" ht="11.1" customHeight="1" outlineLevel="1" x14ac:dyDescent="0.25">
      <c r="A43" s="84"/>
      <c r="B43" s="169"/>
      <c r="C43" s="170"/>
      <c r="D43" s="171" t="s">
        <v>136</v>
      </c>
      <c r="E43" s="171"/>
      <c r="F43" s="171"/>
      <c r="G43" s="171"/>
      <c r="H43" s="162">
        <f>IFERROR(SUMIFS('Weekly Timesheet'!$M$14:$M$28,'Weekly Timesheet'!$B$14:$B$28,"Office &amp; Sales",'Weekly Timesheet'!$C$14:$C$28,"Inventory"),0)</f>
        <v>0</v>
      </c>
      <c r="I43" s="162"/>
      <c r="J43" s="162"/>
      <c r="K43" s="172">
        <f>IFERROR(H43/SUMIF('Weekly Timesheet'!$B$14:$B$28,"Office &amp; Sales",'Weekly Timesheet'!$M$14:$M$28),0)</f>
        <v>0</v>
      </c>
      <c r="L43" s="173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</row>
    <row r="44" spans="1:23" ht="11.1" customHeight="1" outlineLevel="1" x14ac:dyDescent="0.25">
      <c r="A44" s="84"/>
      <c r="B44" s="164"/>
      <c r="C44" s="165"/>
      <c r="D44" s="166" t="s">
        <v>137</v>
      </c>
      <c r="E44" s="166"/>
      <c r="F44" s="166"/>
      <c r="G44" s="166"/>
      <c r="H44" s="161">
        <f>IFERROR(SUMIFS('Weekly Timesheet'!$M$14:$M$28,'Weekly Timesheet'!$B$14:$B$28,"Office &amp; Sales",'Weekly Timesheet'!$C$14:$C$28,"SRU Study"),0)</f>
        <v>0</v>
      </c>
      <c r="I44" s="161"/>
      <c r="J44" s="161"/>
      <c r="K44" s="167">
        <f>IFERROR(H44/SUMIF('Weekly Timesheet'!$B$14:$B$28,"Office &amp; Sales",'Weekly Timesheet'!$M$14:$M$28),0)</f>
        <v>0</v>
      </c>
      <c r="L44" s="168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</row>
    <row r="45" spans="1:23" ht="11.1" customHeight="1" outlineLevel="1" x14ac:dyDescent="0.25">
      <c r="A45" s="84"/>
      <c r="B45" s="169"/>
      <c r="C45" s="170"/>
      <c r="D45" s="171" t="s">
        <v>138</v>
      </c>
      <c r="E45" s="171"/>
      <c r="F45" s="171"/>
      <c r="G45" s="171"/>
      <c r="H45" s="162">
        <f>IFERROR(SUMIFS('Weekly Timesheet'!$M$14:$M$28,'Weekly Timesheet'!$B$14:$B$28,"Office &amp; Sales",'Weekly Timesheet'!$C$14:$C$28,"Conference"),0)</f>
        <v>0</v>
      </c>
      <c r="I45" s="162"/>
      <c r="J45" s="162"/>
      <c r="K45" s="172">
        <f>IFERROR(H45/SUMIF('Weekly Timesheet'!$B$14:$B$28,"Office &amp; Sales",'Weekly Timesheet'!$M$14:$M$28),0)</f>
        <v>0</v>
      </c>
      <c r="L45" s="173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</row>
    <row r="46" spans="1:23" ht="11.1" customHeight="1" outlineLevel="1" x14ac:dyDescent="0.25">
      <c r="A46" s="84"/>
      <c r="B46" s="174"/>
      <c r="C46" s="175"/>
      <c r="D46" s="176" t="s">
        <v>139</v>
      </c>
      <c r="E46" s="176"/>
      <c r="F46" s="176"/>
      <c r="G46" s="176"/>
      <c r="H46" s="163">
        <f>IFERROR(SUMIFS('Weekly Timesheet'!$M$14:$M$28,'Weekly Timesheet'!$B$14:$B$28,"Office &amp; Sales",'Weekly Timesheet'!$C$14:$C$28,"General"),0)</f>
        <v>21</v>
      </c>
      <c r="I46" s="163"/>
      <c r="J46" s="163"/>
      <c r="K46" s="177">
        <f>IFERROR(H46/SUMIF('Weekly Timesheet'!$B$14:$B$28,"Office &amp; Sales",'Weekly Timesheet'!$M$14:$M$28),0)</f>
        <v>1</v>
      </c>
      <c r="L46" s="178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</row>
    <row r="47" spans="1:23" ht="3.75" customHeight="1" x14ac:dyDescent="0.25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</row>
    <row r="48" spans="1:23" ht="12.95" customHeight="1" x14ac:dyDescent="0.25">
      <c r="A48" s="84"/>
      <c r="B48" s="272" t="s">
        <v>144</v>
      </c>
      <c r="C48" s="273"/>
      <c r="D48" s="273"/>
      <c r="E48" s="273"/>
      <c r="F48" s="273"/>
      <c r="G48" s="273"/>
      <c r="H48" s="273"/>
      <c r="I48" s="273"/>
      <c r="J48" s="273"/>
      <c r="K48" s="273"/>
      <c r="L48" s="273"/>
      <c r="M48" s="274"/>
      <c r="N48" s="273"/>
      <c r="O48" s="273"/>
      <c r="P48" s="273"/>
      <c r="Q48" s="273"/>
      <c r="R48" s="273"/>
      <c r="S48" s="273"/>
      <c r="T48" s="273"/>
      <c r="U48" s="273"/>
      <c r="V48" s="273"/>
      <c r="W48" s="275"/>
    </row>
    <row r="49" spans="1:23" ht="0.95" customHeight="1" x14ac:dyDescent="0.25">
      <c r="A49" s="84"/>
      <c r="B49" s="90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91"/>
    </row>
    <row r="50" spans="1:23" ht="12" customHeight="1" x14ac:dyDescent="0.25">
      <c r="A50" s="84"/>
      <c r="B50" s="115" t="s">
        <v>145</v>
      </c>
      <c r="C50" s="116" t="s">
        <v>114</v>
      </c>
      <c r="D50" s="116" t="s">
        <v>68</v>
      </c>
      <c r="E50" s="116" t="s">
        <v>141</v>
      </c>
      <c r="F50" s="117" t="s">
        <v>70</v>
      </c>
      <c r="G50" s="117" t="s">
        <v>71</v>
      </c>
      <c r="H50" s="117" t="s">
        <v>72</v>
      </c>
      <c r="I50" s="117" t="s">
        <v>73</v>
      </c>
      <c r="J50" s="117" t="s">
        <v>74</v>
      </c>
      <c r="K50" s="117" t="s">
        <v>75</v>
      </c>
      <c r="L50" s="117" t="s">
        <v>76</v>
      </c>
      <c r="M50" s="160" t="s">
        <v>77</v>
      </c>
      <c r="N50" s="160"/>
      <c r="O50" s="160"/>
      <c r="P50" s="160"/>
      <c r="Q50" s="160"/>
      <c r="R50" s="160"/>
      <c r="S50" s="160"/>
      <c r="T50" s="160"/>
      <c r="U50" s="160"/>
      <c r="V50" s="160"/>
      <c r="W50" s="118" t="s">
        <v>142</v>
      </c>
    </row>
    <row r="51" spans="1:23" ht="11.1" customHeight="1" x14ac:dyDescent="0.25">
      <c r="A51" s="84"/>
      <c r="B51" s="119">
        <f>IFERROR(IF('Weekly Timesheet'!B14="","",1),"")</f>
        <v>1</v>
      </c>
      <c r="C51" s="120" t="str">
        <f>IFERROR(IF('Weekly Timesheet'!B14="","",'Weekly Timesheet'!B14),"")</f>
        <v>Admin</v>
      </c>
      <c r="D51" s="120" t="str">
        <f>IFERROR(IF('Weekly Timesheet'!C14="","",'Weekly Timesheet'!C14),"")</f>
        <v>TIL Payout</v>
      </c>
      <c r="E51" s="121" t="str">
        <f>IFERROR(IF('Weekly Timesheet'!D14="","",'Weekly Timesheet'!D14),"")</f>
        <v/>
      </c>
      <c r="F51" s="122">
        <f>IFERROR(IF('Weekly Timesheet'!B14="","",'Weekly Timesheet'!E14),"")</f>
        <v>0</v>
      </c>
      <c r="G51" s="122">
        <f>IFERROR(IF('Weekly Timesheet'!B14="","",'Weekly Timesheet'!F14),"")</f>
        <v>20</v>
      </c>
      <c r="H51" s="122">
        <f>IFERROR(IF('Weekly Timesheet'!B14="","",'Weekly Timesheet'!G14),"")</f>
        <v>0</v>
      </c>
      <c r="I51" s="122">
        <f>IFERROR(IF('Weekly Timesheet'!B14="","",'Weekly Timesheet'!H14),"")</f>
        <v>0</v>
      </c>
      <c r="J51" s="122">
        <f>IFERROR(IF('Weekly Timesheet'!B14="","",'Weekly Timesheet'!I14),"")</f>
        <v>0</v>
      </c>
      <c r="K51" s="122">
        <f>IFERROR(IF('Weekly Timesheet'!B14="","",'Weekly Timesheet'!J14),"")</f>
        <v>0</v>
      </c>
      <c r="L51" s="122">
        <f>IFERROR(IF('Weekly Timesheet'!B14="","",'Weekly Timesheet'!K14),"")</f>
        <v>0</v>
      </c>
      <c r="M51" s="282" t="str">
        <f>IFERROR(IF('Weekly Timesheet'!L14="","",'Weekly Timesheet'!L14),"")</f>
        <v>Recived Payment</v>
      </c>
      <c r="N51" s="282"/>
      <c r="O51" s="282"/>
      <c r="P51" s="282"/>
      <c r="Q51" s="282"/>
      <c r="R51" s="282"/>
      <c r="S51" s="282"/>
      <c r="T51" s="282"/>
      <c r="U51" s="282"/>
      <c r="V51" s="282"/>
      <c r="W51" s="123">
        <f>IFERROR(IF('Weekly Timesheet'!B14="","",'Weekly Timesheet'!M14),"")</f>
        <v>20</v>
      </c>
    </row>
    <row r="52" spans="1:23" ht="11.1" customHeight="1" x14ac:dyDescent="0.25">
      <c r="A52" s="84"/>
      <c r="B52" s="124">
        <f>IFERROR(IF('Weekly Timesheet'!B15="","",2),"")</f>
        <v>2</v>
      </c>
      <c r="C52" s="110" t="str">
        <f>IFERROR(IF('Weekly Timesheet'!B15="","",'Weekly Timesheet'!B15),"")</f>
        <v>Project</v>
      </c>
      <c r="D52" s="110" t="str">
        <f>IFERROR(IF('Weekly Timesheet'!C15="","",'Weekly Timesheet'!C15),"")</f>
        <v>Site Travel</v>
      </c>
      <c r="E52" s="125">
        <f>IFERROR(IF('Weekly Timesheet'!D15="","",'Weekly Timesheet'!D15),"")</f>
        <v>2026125</v>
      </c>
      <c r="F52" s="111">
        <f>IFERROR(IF('Weekly Timesheet'!B15="","",'Weekly Timesheet'!E15),"")</f>
        <v>8</v>
      </c>
      <c r="G52" s="111">
        <f>IFERROR(IF('Weekly Timesheet'!B15="","",'Weekly Timesheet'!F15),"")</f>
        <v>0</v>
      </c>
      <c r="H52" s="111">
        <f>IFERROR(IF('Weekly Timesheet'!B15="","",'Weekly Timesheet'!G15),"")</f>
        <v>0</v>
      </c>
      <c r="I52" s="111">
        <f>IFERROR(IF('Weekly Timesheet'!B15="","",'Weekly Timesheet'!H15),"")</f>
        <v>0</v>
      </c>
      <c r="J52" s="111">
        <f>IFERROR(IF('Weekly Timesheet'!B15="","",'Weekly Timesheet'!I15),"")</f>
        <v>0</v>
      </c>
      <c r="K52" s="111">
        <f>IFERROR(IF('Weekly Timesheet'!B15="","",'Weekly Timesheet'!J15),"")</f>
        <v>0</v>
      </c>
      <c r="L52" s="111">
        <f>IFERROR(IF('Weekly Timesheet'!B15="","",'Weekly Timesheet'!K15),"")</f>
        <v>0</v>
      </c>
      <c r="M52" s="281" t="str">
        <f>IFERROR(IF('Weekly Timesheet'!L15="","",'Weekly Timesheet'!L15),"")</f>
        <v>Travel to YYC</v>
      </c>
      <c r="N52" s="281"/>
      <c r="O52" s="281"/>
      <c r="P52" s="281"/>
      <c r="Q52" s="281"/>
      <c r="R52" s="281"/>
      <c r="S52" s="281"/>
      <c r="T52" s="281"/>
      <c r="U52" s="281"/>
      <c r="V52" s="281"/>
      <c r="W52" s="112">
        <f>IFERROR(IF('Weekly Timesheet'!B15="","",'Weekly Timesheet'!M15),"")</f>
        <v>8</v>
      </c>
    </row>
    <row r="53" spans="1:23" ht="11.1" customHeight="1" x14ac:dyDescent="0.25">
      <c r="A53" s="84"/>
      <c r="B53" s="119">
        <f>IFERROR(IF('Weekly Timesheet'!B16="","",3),"")</f>
        <v>3</v>
      </c>
      <c r="C53" s="120" t="str">
        <f>IFERROR(IF('Weekly Timesheet'!B16="","",'Weekly Timesheet'!B16),"")</f>
        <v>Admin</v>
      </c>
      <c r="D53" s="120" t="str">
        <f>IFERROR(IF('Weekly Timesheet'!C16="","",'Weekly Timesheet'!C16),"")</f>
        <v>Toolbox Meeting</v>
      </c>
      <c r="E53" s="121" t="str">
        <f>IFERROR(IF('Weekly Timesheet'!D16="","",'Weekly Timesheet'!D16),"")</f>
        <v/>
      </c>
      <c r="F53" s="122">
        <f>IFERROR(IF('Weekly Timesheet'!B16="","",'Weekly Timesheet'!E16),"")</f>
        <v>0</v>
      </c>
      <c r="G53" s="122">
        <f>IFERROR(IF('Weekly Timesheet'!B16="","",'Weekly Timesheet'!F16),"")</f>
        <v>0</v>
      </c>
      <c r="H53" s="122">
        <f>IFERROR(IF('Weekly Timesheet'!B16="","",'Weekly Timesheet'!G16),"")</f>
        <v>1</v>
      </c>
      <c r="I53" s="122">
        <f>IFERROR(IF('Weekly Timesheet'!B16="","",'Weekly Timesheet'!H16),"")</f>
        <v>0</v>
      </c>
      <c r="J53" s="122">
        <f>IFERROR(IF('Weekly Timesheet'!B16="","",'Weekly Timesheet'!I16),"")</f>
        <v>0</v>
      </c>
      <c r="K53" s="122">
        <f>IFERROR(IF('Weekly Timesheet'!B16="","",'Weekly Timesheet'!J16),"")</f>
        <v>0</v>
      </c>
      <c r="L53" s="122">
        <f>IFERROR(IF('Weekly Timesheet'!B16="","",'Weekly Timesheet'!K16),"")</f>
        <v>0</v>
      </c>
      <c r="M53" s="282" t="str">
        <f>IFERROR(IF('Weekly Timesheet'!L16="","",'Weekly Timesheet'!L16),"")</f>
        <v>Pit Stop</v>
      </c>
      <c r="N53" s="282"/>
      <c r="O53" s="282"/>
      <c r="P53" s="282"/>
      <c r="Q53" s="282"/>
      <c r="R53" s="282"/>
      <c r="S53" s="282"/>
      <c r="T53" s="282"/>
      <c r="U53" s="282"/>
      <c r="V53" s="282"/>
      <c r="W53" s="123">
        <f>IFERROR(IF('Weekly Timesheet'!B16="","",'Weekly Timesheet'!M16),"")</f>
        <v>1</v>
      </c>
    </row>
    <row r="54" spans="1:23" ht="11.1" customHeight="1" x14ac:dyDescent="0.25">
      <c r="A54" s="84"/>
      <c r="B54" s="124">
        <f>IFERROR(IF('Weekly Timesheet'!B17="","",4),"")</f>
        <v>4</v>
      </c>
      <c r="C54" s="110" t="str">
        <f>IFERROR(IF('Weekly Timesheet'!B17="","",'Weekly Timesheet'!B17),"")</f>
        <v>Office &amp; Sales</v>
      </c>
      <c r="D54" s="110" t="str">
        <f>IFERROR(IF('Weekly Timesheet'!C17="","",'Weekly Timesheet'!C17),"")</f>
        <v>General</v>
      </c>
      <c r="E54" s="125" t="str">
        <f>IFERROR(IF('Weekly Timesheet'!D17="","",'Weekly Timesheet'!D17),"")</f>
        <v/>
      </c>
      <c r="F54" s="111">
        <f>IFERROR(IF('Weekly Timesheet'!B17="","",'Weekly Timesheet'!E17),"")</f>
        <v>0</v>
      </c>
      <c r="G54" s="111">
        <f>IFERROR(IF('Weekly Timesheet'!B17="","",'Weekly Timesheet'!F17),"")</f>
        <v>8</v>
      </c>
      <c r="H54" s="111">
        <f>IFERROR(IF('Weekly Timesheet'!B17="","",'Weekly Timesheet'!G17),"")</f>
        <v>7</v>
      </c>
      <c r="I54" s="111">
        <f>IFERROR(IF('Weekly Timesheet'!B17="","",'Weekly Timesheet'!H17),"")</f>
        <v>6</v>
      </c>
      <c r="J54" s="111">
        <f>IFERROR(IF('Weekly Timesheet'!B17="","",'Weekly Timesheet'!I17),"")</f>
        <v>0</v>
      </c>
      <c r="K54" s="111">
        <f>IFERROR(IF('Weekly Timesheet'!B17="","",'Weekly Timesheet'!J17),"")</f>
        <v>0</v>
      </c>
      <c r="L54" s="111">
        <f>IFERROR(IF('Weekly Timesheet'!B17="","",'Weekly Timesheet'!K17),"")</f>
        <v>0</v>
      </c>
      <c r="M54" s="281" t="str">
        <f>IFERROR(IF('Weekly Timesheet'!L17="","",'Weekly Timesheet'!L17),"")</f>
        <v>Timesheet; Email Reply; Timesheet and Expense report template for Team</v>
      </c>
      <c r="N54" s="281"/>
      <c r="O54" s="281"/>
      <c r="P54" s="281"/>
      <c r="Q54" s="281"/>
      <c r="R54" s="281"/>
      <c r="S54" s="281"/>
      <c r="T54" s="281"/>
      <c r="U54" s="281"/>
      <c r="V54" s="281"/>
      <c r="W54" s="112">
        <f>IFERROR(IF('Weekly Timesheet'!B17="","",'Weekly Timesheet'!M17),"")</f>
        <v>21</v>
      </c>
    </row>
    <row r="55" spans="1:23" ht="11.1" customHeight="1" collapsed="1" x14ac:dyDescent="0.25">
      <c r="A55" s="84"/>
      <c r="B55" s="119">
        <f>IFERROR(IF('Weekly Timesheet'!B18="","",5),"")</f>
        <v>5</v>
      </c>
      <c r="C55" s="120" t="str">
        <f>IFERROR(IF('Weekly Timesheet'!B18="","",'Weekly Timesheet'!B18),"")</f>
        <v>Project</v>
      </c>
      <c r="D55" s="120" t="str">
        <f>IFERROR(IF('Weekly Timesheet'!C18="","",'Weekly Timesheet'!C18),"")</f>
        <v>Report</v>
      </c>
      <c r="E55" s="121">
        <f>IFERROR(IF('Weekly Timesheet'!D18="","",'Weekly Timesheet'!D18),"")</f>
        <v>2026125</v>
      </c>
      <c r="F55" s="122">
        <f>IFERROR(IF('Weekly Timesheet'!B18="","",'Weekly Timesheet'!E18),"")</f>
        <v>0</v>
      </c>
      <c r="G55" s="122">
        <f>IFERROR(IF('Weekly Timesheet'!B18="","",'Weekly Timesheet'!F18),"")</f>
        <v>0</v>
      </c>
      <c r="H55" s="122">
        <f>IFERROR(IF('Weekly Timesheet'!B18="","",'Weekly Timesheet'!G18),"")</f>
        <v>0</v>
      </c>
      <c r="I55" s="122">
        <f>IFERROR(IF('Weekly Timesheet'!B18="","",'Weekly Timesheet'!H18),"")</f>
        <v>2</v>
      </c>
      <c r="J55" s="122">
        <f>IFERROR(IF('Weekly Timesheet'!B18="","",'Weekly Timesheet'!I18),"")</f>
        <v>0</v>
      </c>
      <c r="K55" s="122">
        <f>IFERROR(IF('Weekly Timesheet'!B18="","",'Weekly Timesheet'!J18),"")</f>
        <v>0</v>
      </c>
      <c r="L55" s="122">
        <f>IFERROR(IF('Weekly Timesheet'!B18="","",'Weekly Timesheet'!K18),"")</f>
        <v>0</v>
      </c>
      <c r="M55" s="282" t="str">
        <f>IFERROR(IF('Weekly Timesheet'!L18="","",'Weekly Timesheet'!L18),"")</f>
        <v>Summary Letter</v>
      </c>
      <c r="N55" s="282"/>
      <c r="O55" s="282"/>
      <c r="P55" s="282"/>
      <c r="Q55" s="282"/>
      <c r="R55" s="282"/>
      <c r="S55" s="282"/>
      <c r="T55" s="282"/>
      <c r="U55" s="282"/>
      <c r="V55" s="282"/>
      <c r="W55" s="123">
        <f>IFERROR(IF('Weekly Timesheet'!B18="","",'Weekly Timesheet'!M18),"")</f>
        <v>2</v>
      </c>
    </row>
    <row r="56" spans="1:23" ht="11.1" customHeight="1" x14ac:dyDescent="0.25">
      <c r="A56" s="84"/>
      <c r="B56" s="124">
        <f>IFERROR(IF('Weekly Timesheet'!B19="","",6),"")</f>
        <v>6</v>
      </c>
      <c r="C56" s="110" t="str">
        <f>IFERROR(IF('Weekly Timesheet'!B19="","",'Weekly Timesheet'!B19),"")</f>
        <v>Admin</v>
      </c>
      <c r="D56" s="110" t="str">
        <f>IFERROR(IF('Weekly Timesheet'!C19="","",'Weekly Timesheet'!C19),"")</f>
        <v>Statutory Holiday</v>
      </c>
      <c r="E56" s="125" t="str">
        <f>IFERROR(IF('Weekly Timesheet'!D19="","",'Weekly Timesheet'!D19),"")</f>
        <v/>
      </c>
      <c r="F56" s="111">
        <f>IFERROR(IF('Weekly Timesheet'!B19="","",'Weekly Timesheet'!E19),"")</f>
        <v>0</v>
      </c>
      <c r="G56" s="111">
        <f>IFERROR(IF('Weekly Timesheet'!B19="","",'Weekly Timesheet'!F19),"")</f>
        <v>0</v>
      </c>
      <c r="H56" s="111">
        <f>IFERROR(IF('Weekly Timesheet'!B19="","",'Weekly Timesheet'!G19),"")</f>
        <v>0</v>
      </c>
      <c r="I56" s="111">
        <f>IFERROR(IF('Weekly Timesheet'!B19="","",'Weekly Timesheet'!H19),"")</f>
        <v>0</v>
      </c>
      <c r="J56" s="111">
        <f>IFERROR(IF('Weekly Timesheet'!B19="","",'Weekly Timesheet'!I19),"")</f>
        <v>8</v>
      </c>
      <c r="K56" s="111">
        <f>IFERROR(IF('Weekly Timesheet'!B19="","",'Weekly Timesheet'!J19),"")</f>
        <v>0</v>
      </c>
      <c r="L56" s="111">
        <f>IFERROR(IF('Weekly Timesheet'!B19="","",'Weekly Timesheet'!K19),"")</f>
        <v>0</v>
      </c>
      <c r="M56" s="281" t="str">
        <f>IFERROR(IF('Weekly Timesheet'!L19="","",'Weekly Timesheet'!L19),"")</f>
        <v>Good Friday</v>
      </c>
      <c r="N56" s="281"/>
      <c r="O56" s="281"/>
      <c r="P56" s="281"/>
      <c r="Q56" s="281"/>
      <c r="R56" s="281"/>
      <c r="S56" s="281"/>
      <c r="T56" s="281"/>
      <c r="U56" s="281"/>
      <c r="V56" s="281"/>
      <c r="W56" s="112">
        <f>IFERROR(IF('Weekly Timesheet'!B19="","",'Weekly Timesheet'!M19),"")</f>
        <v>8</v>
      </c>
    </row>
    <row r="57" spans="1:23" ht="11.1" customHeight="1" x14ac:dyDescent="0.25">
      <c r="A57" s="84"/>
      <c r="B57" s="119" t="str">
        <f>IFERROR(IF('Weekly Timesheet'!B20="","",7),"")</f>
        <v/>
      </c>
      <c r="C57" s="120" t="str">
        <f>IFERROR(IF('Weekly Timesheet'!B20="","",'Weekly Timesheet'!B20),"")</f>
        <v/>
      </c>
      <c r="D57" s="120" t="str">
        <f>IFERROR(IF('Weekly Timesheet'!C20="","",'Weekly Timesheet'!C20),"")</f>
        <v/>
      </c>
      <c r="E57" s="121" t="str">
        <f>IFERROR(IF('Weekly Timesheet'!D20="","",'Weekly Timesheet'!D20),"")</f>
        <v/>
      </c>
      <c r="F57" s="122" t="str">
        <f>IFERROR(IF('Weekly Timesheet'!B20="","",'Weekly Timesheet'!E20),"")</f>
        <v/>
      </c>
      <c r="G57" s="122" t="str">
        <f>IFERROR(IF('Weekly Timesheet'!B20="","",'Weekly Timesheet'!F20),"")</f>
        <v/>
      </c>
      <c r="H57" s="122" t="str">
        <f>IFERROR(IF('Weekly Timesheet'!B20="","",'Weekly Timesheet'!G20),"")</f>
        <v/>
      </c>
      <c r="I57" s="122" t="str">
        <f>IFERROR(IF('Weekly Timesheet'!B20="","",'Weekly Timesheet'!H20),"")</f>
        <v/>
      </c>
      <c r="J57" s="122" t="str">
        <f>IFERROR(IF('Weekly Timesheet'!B20="","",'Weekly Timesheet'!I20),"")</f>
        <v/>
      </c>
      <c r="K57" s="122" t="str">
        <f>IFERROR(IF('Weekly Timesheet'!B20="","",'Weekly Timesheet'!J20),"")</f>
        <v/>
      </c>
      <c r="L57" s="122" t="str">
        <f>IFERROR(IF('Weekly Timesheet'!B20="","",'Weekly Timesheet'!K20),"")</f>
        <v/>
      </c>
      <c r="M57" s="282" t="str">
        <f>IFERROR(IF('Weekly Timesheet'!L20="","",'Weekly Timesheet'!L20),"")</f>
        <v/>
      </c>
      <c r="N57" s="282"/>
      <c r="O57" s="282"/>
      <c r="P57" s="282"/>
      <c r="Q57" s="282"/>
      <c r="R57" s="282"/>
      <c r="S57" s="282"/>
      <c r="T57" s="282"/>
      <c r="U57" s="282"/>
      <c r="V57" s="282"/>
      <c r="W57" s="123" t="str">
        <f>IFERROR(IF('Weekly Timesheet'!B20="","",'Weekly Timesheet'!M20),"")</f>
        <v/>
      </c>
    </row>
    <row r="58" spans="1:23" ht="11.1" customHeight="1" x14ac:dyDescent="0.25">
      <c r="A58" s="84"/>
      <c r="B58" s="124" t="str">
        <f>IFERROR(IF('Weekly Timesheet'!B21="","",8),"")</f>
        <v/>
      </c>
      <c r="C58" s="110" t="str">
        <f>IFERROR(IF('Weekly Timesheet'!B21="","",'Weekly Timesheet'!B21),"")</f>
        <v/>
      </c>
      <c r="D58" s="110" t="str">
        <f>IFERROR(IF('Weekly Timesheet'!C21="","",'Weekly Timesheet'!C21),"")</f>
        <v/>
      </c>
      <c r="E58" s="125" t="str">
        <f>IFERROR(IF('Weekly Timesheet'!D21="","",'Weekly Timesheet'!D21),"")</f>
        <v/>
      </c>
      <c r="F58" s="111" t="str">
        <f>IFERROR(IF('Weekly Timesheet'!B21="","",'Weekly Timesheet'!E21),"")</f>
        <v/>
      </c>
      <c r="G58" s="111" t="str">
        <f>IFERROR(IF('Weekly Timesheet'!B21="","",'Weekly Timesheet'!F21),"")</f>
        <v/>
      </c>
      <c r="H58" s="111" t="str">
        <f>IFERROR(IF('Weekly Timesheet'!B21="","",'Weekly Timesheet'!G21),"")</f>
        <v/>
      </c>
      <c r="I58" s="111" t="str">
        <f>IFERROR(IF('Weekly Timesheet'!B21="","",'Weekly Timesheet'!H21),"")</f>
        <v/>
      </c>
      <c r="J58" s="111" t="str">
        <f>IFERROR(IF('Weekly Timesheet'!B21="","",'Weekly Timesheet'!I21),"")</f>
        <v/>
      </c>
      <c r="K58" s="111" t="str">
        <f>IFERROR(IF('Weekly Timesheet'!B21="","",'Weekly Timesheet'!J21),"")</f>
        <v/>
      </c>
      <c r="L58" s="111" t="str">
        <f>IFERROR(IF('Weekly Timesheet'!B21="","",'Weekly Timesheet'!K21),"")</f>
        <v/>
      </c>
      <c r="M58" s="281" t="str">
        <f>IFERROR(IF('Weekly Timesheet'!L21="","",'Weekly Timesheet'!L21),"")</f>
        <v/>
      </c>
      <c r="N58" s="281"/>
      <c r="O58" s="281"/>
      <c r="P58" s="281"/>
      <c r="Q58" s="281"/>
      <c r="R58" s="281"/>
      <c r="S58" s="281"/>
      <c r="T58" s="281"/>
      <c r="U58" s="281"/>
      <c r="V58" s="281"/>
      <c r="W58" s="112" t="str">
        <f>IFERROR(IF('Weekly Timesheet'!B21="","",'Weekly Timesheet'!M21),"")</f>
        <v/>
      </c>
    </row>
    <row r="59" spans="1:23" ht="11.1" customHeight="1" x14ac:dyDescent="0.25">
      <c r="A59" s="84"/>
      <c r="B59" s="119" t="str">
        <f>IFERROR(IF('Weekly Timesheet'!B22="","",9),"")</f>
        <v/>
      </c>
      <c r="C59" s="120" t="str">
        <f>IFERROR(IF('Weekly Timesheet'!B22="","",'Weekly Timesheet'!B22),"")</f>
        <v/>
      </c>
      <c r="D59" s="120" t="str">
        <f>IFERROR(IF('Weekly Timesheet'!C22="","",'Weekly Timesheet'!C22),"")</f>
        <v/>
      </c>
      <c r="E59" s="121" t="str">
        <f>IFERROR(IF('Weekly Timesheet'!D22="","",'Weekly Timesheet'!D22),"")</f>
        <v/>
      </c>
      <c r="F59" s="122" t="str">
        <f>IFERROR(IF('Weekly Timesheet'!B22="","",'Weekly Timesheet'!E22),"")</f>
        <v/>
      </c>
      <c r="G59" s="122" t="str">
        <f>IFERROR(IF('Weekly Timesheet'!B22="","",'Weekly Timesheet'!F22),"")</f>
        <v/>
      </c>
      <c r="H59" s="122" t="str">
        <f>IFERROR(IF('Weekly Timesheet'!B22="","",'Weekly Timesheet'!G22),"")</f>
        <v/>
      </c>
      <c r="I59" s="122" t="str">
        <f>IFERROR(IF('Weekly Timesheet'!B22="","",'Weekly Timesheet'!H22),"")</f>
        <v/>
      </c>
      <c r="J59" s="122" t="str">
        <f>IFERROR(IF('Weekly Timesheet'!B22="","",'Weekly Timesheet'!I22),"")</f>
        <v/>
      </c>
      <c r="K59" s="122" t="str">
        <f>IFERROR(IF('Weekly Timesheet'!B22="","",'Weekly Timesheet'!J22),"")</f>
        <v/>
      </c>
      <c r="L59" s="122" t="str">
        <f>IFERROR(IF('Weekly Timesheet'!B22="","",'Weekly Timesheet'!K22),"")</f>
        <v/>
      </c>
      <c r="M59" s="282" t="str">
        <f>IFERROR(IF('Weekly Timesheet'!L22="","",'Weekly Timesheet'!L22),"")</f>
        <v/>
      </c>
      <c r="N59" s="282"/>
      <c r="O59" s="282"/>
      <c r="P59" s="282"/>
      <c r="Q59" s="282"/>
      <c r="R59" s="282"/>
      <c r="S59" s="282"/>
      <c r="T59" s="282"/>
      <c r="U59" s="282"/>
      <c r="V59" s="282"/>
      <c r="W59" s="123" t="str">
        <f>IFERROR(IF('Weekly Timesheet'!B22="","",'Weekly Timesheet'!M22),"")</f>
        <v/>
      </c>
    </row>
    <row r="60" spans="1:23" ht="11.1" customHeight="1" x14ac:dyDescent="0.25">
      <c r="A60" s="84"/>
      <c r="B60" s="124" t="str">
        <f>IFERROR(IF('Weekly Timesheet'!B23="","",10),"")</f>
        <v/>
      </c>
      <c r="C60" s="110" t="str">
        <f>IFERROR(IF('Weekly Timesheet'!B23="","",'Weekly Timesheet'!B23),"")</f>
        <v/>
      </c>
      <c r="D60" s="110" t="str">
        <f>IFERROR(IF('Weekly Timesheet'!C23="","",'Weekly Timesheet'!C23),"")</f>
        <v/>
      </c>
      <c r="E60" s="125" t="str">
        <f>IFERROR(IF('Weekly Timesheet'!D23="","",'Weekly Timesheet'!D23),"")</f>
        <v/>
      </c>
      <c r="F60" s="111" t="str">
        <f>IFERROR(IF('Weekly Timesheet'!B23="","",'Weekly Timesheet'!E23),"")</f>
        <v/>
      </c>
      <c r="G60" s="111" t="str">
        <f>IFERROR(IF('Weekly Timesheet'!B23="","",'Weekly Timesheet'!F23),"")</f>
        <v/>
      </c>
      <c r="H60" s="111" t="str">
        <f>IFERROR(IF('Weekly Timesheet'!B23="","",'Weekly Timesheet'!G23),"")</f>
        <v/>
      </c>
      <c r="I60" s="111" t="str">
        <f>IFERROR(IF('Weekly Timesheet'!B23="","",'Weekly Timesheet'!H23),"")</f>
        <v/>
      </c>
      <c r="J60" s="111" t="str">
        <f>IFERROR(IF('Weekly Timesheet'!B23="","",'Weekly Timesheet'!I23),"")</f>
        <v/>
      </c>
      <c r="K60" s="111" t="str">
        <f>IFERROR(IF('Weekly Timesheet'!B23="","",'Weekly Timesheet'!J23),"")</f>
        <v/>
      </c>
      <c r="L60" s="111" t="str">
        <f>IFERROR(IF('Weekly Timesheet'!B23="","",'Weekly Timesheet'!K23),"")</f>
        <v/>
      </c>
      <c r="M60" s="281" t="str">
        <f>IFERROR(IF('Weekly Timesheet'!L23="","",'Weekly Timesheet'!L23),"")</f>
        <v/>
      </c>
      <c r="N60" s="281"/>
      <c r="O60" s="281"/>
      <c r="P60" s="281"/>
      <c r="Q60" s="281"/>
      <c r="R60" s="281"/>
      <c r="S60" s="281"/>
      <c r="T60" s="281"/>
      <c r="U60" s="281"/>
      <c r="V60" s="281"/>
      <c r="W60" s="112" t="str">
        <f>IFERROR(IF('Weekly Timesheet'!B23="","",'Weekly Timesheet'!M23),"")</f>
        <v/>
      </c>
    </row>
    <row r="61" spans="1:23" ht="11.1" customHeight="1" x14ac:dyDescent="0.25">
      <c r="A61" s="84"/>
      <c r="B61" s="119" t="str">
        <f>IFERROR(IF('Weekly Timesheet'!B24="","",11),"")</f>
        <v/>
      </c>
      <c r="C61" s="120" t="str">
        <f>IFERROR(IF('Weekly Timesheet'!B24="","",'Weekly Timesheet'!B24),"")</f>
        <v/>
      </c>
      <c r="D61" s="120" t="str">
        <f>IFERROR(IF('Weekly Timesheet'!C24="","",'Weekly Timesheet'!C24),"")</f>
        <v/>
      </c>
      <c r="E61" s="121" t="str">
        <f>IFERROR(IF('Weekly Timesheet'!D24="","",'Weekly Timesheet'!D24),"")</f>
        <v/>
      </c>
      <c r="F61" s="122" t="str">
        <f>IFERROR(IF('Weekly Timesheet'!B24="","",'Weekly Timesheet'!E24),"")</f>
        <v/>
      </c>
      <c r="G61" s="122" t="str">
        <f>IFERROR(IF('Weekly Timesheet'!B24="","",'Weekly Timesheet'!F24),"")</f>
        <v/>
      </c>
      <c r="H61" s="122" t="str">
        <f>IFERROR(IF('Weekly Timesheet'!B24="","",'Weekly Timesheet'!G24),"")</f>
        <v/>
      </c>
      <c r="I61" s="122" t="str">
        <f>IFERROR(IF('Weekly Timesheet'!B24="","",'Weekly Timesheet'!H24),"")</f>
        <v/>
      </c>
      <c r="J61" s="122" t="str">
        <f>IFERROR(IF('Weekly Timesheet'!B24="","",'Weekly Timesheet'!I24),"")</f>
        <v/>
      </c>
      <c r="K61" s="122" t="str">
        <f>IFERROR(IF('Weekly Timesheet'!B24="","",'Weekly Timesheet'!J24),"")</f>
        <v/>
      </c>
      <c r="L61" s="122" t="str">
        <f>IFERROR(IF('Weekly Timesheet'!B24="","",'Weekly Timesheet'!K24),"")</f>
        <v/>
      </c>
      <c r="M61" s="282" t="str">
        <f>IFERROR(IF('Weekly Timesheet'!L24="","",'Weekly Timesheet'!L24),"")</f>
        <v/>
      </c>
      <c r="N61" s="282"/>
      <c r="O61" s="282"/>
      <c r="P61" s="282"/>
      <c r="Q61" s="282"/>
      <c r="R61" s="282"/>
      <c r="S61" s="282"/>
      <c r="T61" s="282"/>
      <c r="U61" s="282"/>
      <c r="V61" s="282"/>
      <c r="W61" s="123" t="str">
        <f>IFERROR(IF('Weekly Timesheet'!B24="","",'Weekly Timesheet'!M24),"")</f>
        <v/>
      </c>
    </row>
    <row r="62" spans="1:23" ht="11.1" customHeight="1" x14ac:dyDescent="0.25">
      <c r="A62" s="84"/>
      <c r="B62" s="124" t="str">
        <f>IFERROR(IF('Weekly Timesheet'!B25="","",12),"")</f>
        <v/>
      </c>
      <c r="C62" s="110" t="str">
        <f>IFERROR(IF('Weekly Timesheet'!B25="","",'Weekly Timesheet'!B25),"")</f>
        <v/>
      </c>
      <c r="D62" s="110" t="str">
        <f>IFERROR(IF('Weekly Timesheet'!C25="","",'Weekly Timesheet'!C25),"")</f>
        <v/>
      </c>
      <c r="E62" s="125" t="str">
        <f>IFERROR(IF('Weekly Timesheet'!D25="","",'Weekly Timesheet'!D25),"")</f>
        <v/>
      </c>
      <c r="F62" s="111" t="str">
        <f>IFERROR(IF('Weekly Timesheet'!B25="","",'Weekly Timesheet'!E25),"")</f>
        <v/>
      </c>
      <c r="G62" s="111" t="str">
        <f>IFERROR(IF('Weekly Timesheet'!B25="","",'Weekly Timesheet'!F25),"")</f>
        <v/>
      </c>
      <c r="H62" s="111" t="str">
        <f>IFERROR(IF('Weekly Timesheet'!B25="","",'Weekly Timesheet'!G25),"")</f>
        <v/>
      </c>
      <c r="I62" s="111" t="str">
        <f>IFERROR(IF('Weekly Timesheet'!B25="","",'Weekly Timesheet'!H25),"")</f>
        <v/>
      </c>
      <c r="J62" s="111" t="str">
        <f>IFERROR(IF('Weekly Timesheet'!B25="","",'Weekly Timesheet'!I25),"")</f>
        <v/>
      </c>
      <c r="K62" s="111" t="str">
        <f>IFERROR(IF('Weekly Timesheet'!B25="","",'Weekly Timesheet'!J25),"")</f>
        <v/>
      </c>
      <c r="L62" s="111" t="str">
        <f>IFERROR(IF('Weekly Timesheet'!B25="","",'Weekly Timesheet'!K25),"")</f>
        <v/>
      </c>
      <c r="M62" s="281" t="str">
        <f>IFERROR(IF('Weekly Timesheet'!L25="","",'Weekly Timesheet'!L25),"")</f>
        <v/>
      </c>
      <c r="N62" s="281"/>
      <c r="O62" s="281"/>
      <c r="P62" s="281"/>
      <c r="Q62" s="281"/>
      <c r="R62" s="281"/>
      <c r="S62" s="281"/>
      <c r="T62" s="281"/>
      <c r="U62" s="281"/>
      <c r="V62" s="281"/>
      <c r="W62" s="112" t="str">
        <f>IFERROR(IF('Weekly Timesheet'!B25="","",'Weekly Timesheet'!M25),"")</f>
        <v/>
      </c>
    </row>
    <row r="63" spans="1:23" ht="11.1" customHeight="1" x14ac:dyDescent="0.25">
      <c r="A63" s="84"/>
      <c r="B63" s="119" t="str">
        <f>IFERROR(IF('Weekly Timesheet'!B26="","",13),"")</f>
        <v/>
      </c>
      <c r="C63" s="120" t="str">
        <f>IFERROR(IF('Weekly Timesheet'!B26="","",'Weekly Timesheet'!B26),"")</f>
        <v/>
      </c>
      <c r="D63" s="120" t="str">
        <f>IFERROR(IF('Weekly Timesheet'!C26="","",'Weekly Timesheet'!C26),"")</f>
        <v/>
      </c>
      <c r="E63" s="121" t="str">
        <f>IFERROR(IF('Weekly Timesheet'!D26="","",'Weekly Timesheet'!D26),"")</f>
        <v/>
      </c>
      <c r="F63" s="122" t="str">
        <f>IFERROR(IF('Weekly Timesheet'!B26="","",'Weekly Timesheet'!E26),"")</f>
        <v/>
      </c>
      <c r="G63" s="122" t="str">
        <f>IFERROR(IF('Weekly Timesheet'!B26="","",'Weekly Timesheet'!F26),"")</f>
        <v/>
      </c>
      <c r="H63" s="122" t="str">
        <f>IFERROR(IF('Weekly Timesheet'!B26="","",'Weekly Timesheet'!G26),"")</f>
        <v/>
      </c>
      <c r="I63" s="122" t="str">
        <f>IFERROR(IF('Weekly Timesheet'!B26="","",'Weekly Timesheet'!H26),"")</f>
        <v/>
      </c>
      <c r="J63" s="122" t="str">
        <f>IFERROR(IF('Weekly Timesheet'!B26="","",'Weekly Timesheet'!I26),"")</f>
        <v/>
      </c>
      <c r="K63" s="122" t="str">
        <f>IFERROR(IF('Weekly Timesheet'!B26="","",'Weekly Timesheet'!J26),"")</f>
        <v/>
      </c>
      <c r="L63" s="122" t="str">
        <f>IFERROR(IF('Weekly Timesheet'!B26="","",'Weekly Timesheet'!K26),"")</f>
        <v/>
      </c>
      <c r="M63" s="282" t="str">
        <f>IFERROR(IF('Weekly Timesheet'!L26="","",'Weekly Timesheet'!L26),"")</f>
        <v/>
      </c>
      <c r="N63" s="282"/>
      <c r="O63" s="282"/>
      <c r="P63" s="282"/>
      <c r="Q63" s="282"/>
      <c r="R63" s="282"/>
      <c r="S63" s="282"/>
      <c r="T63" s="282"/>
      <c r="U63" s="282"/>
      <c r="V63" s="282"/>
      <c r="W63" s="123" t="str">
        <f>IFERROR(IF('Weekly Timesheet'!B26="","",'Weekly Timesheet'!M26),"")</f>
        <v/>
      </c>
    </row>
    <row r="64" spans="1:23" ht="11.1" customHeight="1" x14ac:dyDescent="0.25">
      <c r="A64" s="84"/>
      <c r="B64" s="124" t="str">
        <f>IFERROR(IF('Weekly Timesheet'!B27="","",14),"")</f>
        <v/>
      </c>
      <c r="C64" s="110" t="str">
        <f>IFERROR(IF('Weekly Timesheet'!B27="","",'Weekly Timesheet'!B27),"")</f>
        <v/>
      </c>
      <c r="D64" s="110" t="str">
        <f>IFERROR(IF('Weekly Timesheet'!C27="","",'Weekly Timesheet'!C27),"")</f>
        <v/>
      </c>
      <c r="E64" s="125" t="str">
        <f>IFERROR(IF('Weekly Timesheet'!D27="","",'Weekly Timesheet'!D27),"")</f>
        <v/>
      </c>
      <c r="F64" s="111" t="str">
        <f>IFERROR(IF('Weekly Timesheet'!B27="","",'Weekly Timesheet'!E27),"")</f>
        <v/>
      </c>
      <c r="G64" s="111" t="str">
        <f>IFERROR(IF('Weekly Timesheet'!B27="","",'Weekly Timesheet'!F27),"")</f>
        <v/>
      </c>
      <c r="H64" s="111" t="str">
        <f>IFERROR(IF('Weekly Timesheet'!B27="","",'Weekly Timesheet'!G27),"")</f>
        <v/>
      </c>
      <c r="I64" s="111" t="str">
        <f>IFERROR(IF('Weekly Timesheet'!B27="","",'Weekly Timesheet'!H27),"")</f>
        <v/>
      </c>
      <c r="J64" s="111" t="str">
        <f>IFERROR(IF('Weekly Timesheet'!B27="","",'Weekly Timesheet'!I27),"")</f>
        <v/>
      </c>
      <c r="K64" s="111" t="str">
        <f>IFERROR(IF('Weekly Timesheet'!B27="","",'Weekly Timesheet'!J27),"")</f>
        <v/>
      </c>
      <c r="L64" s="111" t="str">
        <f>IFERROR(IF('Weekly Timesheet'!B27="","",'Weekly Timesheet'!K27),"")</f>
        <v/>
      </c>
      <c r="M64" s="281" t="str">
        <f>IFERROR(IF('Weekly Timesheet'!L27="","",'Weekly Timesheet'!L27),"")</f>
        <v/>
      </c>
      <c r="N64" s="281"/>
      <c r="O64" s="281"/>
      <c r="P64" s="281"/>
      <c r="Q64" s="281"/>
      <c r="R64" s="281"/>
      <c r="S64" s="281"/>
      <c r="T64" s="281"/>
      <c r="U64" s="281"/>
      <c r="V64" s="281"/>
      <c r="W64" s="112" t="str">
        <f>IFERROR(IF('Weekly Timesheet'!B27="","",'Weekly Timesheet'!M27),"")</f>
        <v/>
      </c>
    </row>
    <row r="65" spans="1:23" ht="11.1" customHeight="1" x14ac:dyDescent="0.25">
      <c r="A65" s="84"/>
      <c r="B65" s="119" t="str">
        <f>IFERROR(IF('Weekly Timesheet'!B28="","",15),"")</f>
        <v/>
      </c>
      <c r="C65" s="120" t="str">
        <f>IFERROR(IF('Weekly Timesheet'!B28="","",'Weekly Timesheet'!B28),"")</f>
        <v/>
      </c>
      <c r="D65" s="120" t="str">
        <f>IFERROR(IF('Weekly Timesheet'!C28="","",'Weekly Timesheet'!C28),"")</f>
        <v/>
      </c>
      <c r="E65" s="121" t="str">
        <f>IFERROR(IF('Weekly Timesheet'!D28="","",'Weekly Timesheet'!D28),"")</f>
        <v/>
      </c>
      <c r="F65" s="122" t="str">
        <f>IFERROR(IF('Weekly Timesheet'!B28="","",'Weekly Timesheet'!E28),"")</f>
        <v/>
      </c>
      <c r="G65" s="122" t="str">
        <f>IFERROR(IF('Weekly Timesheet'!B28="","",'Weekly Timesheet'!F28),"")</f>
        <v/>
      </c>
      <c r="H65" s="122" t="str">
        <f>IFERROR(IF('Weekly Timesheet'!B28="","",'Weekly Timesheet'!G28),"")</f>
        <v/>
      </c>
      <c r="I65" s="122" t="str">
        <f>IFERROR(IF('Weekly Timesheet'!B28="","",'Weekly Timesheet'!H28),"")</f>
        <v/>
      </c>
      <c r="J65" s="122" t="str">
        <f>IFERROR(IF('Weekly Timesheet'!B28="","",'Weekly Timesheet'!I28),"")</f>
        <v/>
      </c>
      <c r="K65" s="122" t="str">
        <f>IFERROR(IF('Weekly Timesheet'!B28="","",'Weekly Timesheet'!J28),"")</f>
        <v/>
      </c>
      <c r="L65" s="122" t="str">
        <f>IFERROR(IF('Weekly Timesheet'!B28="","",'Weekly Timesheet'!K28),"")</f>
        <v/>
      </c>
      <c r="M65" s="282" t="str">
        <f>IFERROR(IF('Weekly Timesheet'!L28="","",'Weekly Timesheet'!L28),"")</f>
        <v/>
      </c>
      <c r="N65" s="282"/>
      <c r="O65" s="282"/>
      <c r="P65" s="282"/>
      <c r="Q65" s="282"/>
      <c r="R65" s="282"/>
      <c r="S65" s="282"/>
      <c r="T65" s="282"/>
      <c r="U65" s="282"/>
      <c r="V65" s="282"/>
      <c r="W65" s="123" t="str">
        <f>IFERROR(IF('Weekly Timesheet'!B28="","",'Weekly Timesheet'!M28),"")</f>
        <v/>
      </c>
    </row>
    <row r="66" spans="1:23" ht="12" customHeight="1" x14ac:dyDescent="0.25">
      <c r="A66" s="84"/>
      <c r="B66" s="276" t="s">
        <v>146</v>
      </c>
      <c r="C66" s="277"/>
      <c r="D66" s="277"/>
      <c r="E66" s="277"/>
      <c r="F66" s="127">
        <f>IFERROR(SUM('Weekly Timesheet'!E14:E28),0)</f>
        <v>8</v>
      </c>
      <c r="G66" s="127">
        <f>IFERROR(SUM('Weekly Timesheet'!F14:F28),0)</f>
        <v>28</v>
      </c>
      <c r="H66" s="127">
        <f>IFERROR(SUM('Weekly Timesheet'!G14:G28),0)</f>
        <v>8</v>
      </c>
      <c r="I66" s="127">
        <f>IFERROR(SUM('Weekly Timesheet'!H14:H28),0)</f>
        <v>8</v>
      </c>
      <c r="J66" s="127">
        <f>IFERROR(SUM('Weekly Timesheet'!I14:I28),0)</f>
        <v>8</v>
      </c>
      <c r="K66" s="127">
        <f>IFERROR(SUM('Weekly Timesheet'!J14:J28),0)</f>
        <v>0</v>
      </c>
      <c r="L66" s="127">
        <f>IFERROR(SUM('Weekly Timesheet'!K14:K28),0)</f>
        <v>0</v>
      </c>
      <c r="M66" s="129"/>
      <c r="N66" s="126"/>
      <c r="O66" s="126"/>
      <c r="P66" s="126"/>
      <c r="Q66" s="126"/>
      <c r="R66" s="126"/>
      <c r="S66" s="126"/>
      <c r="T66" s="126"/>
      <c r="U66" s="126"/>
      <c r="V66" s="126"/>
      <c r="W66" s="128">
        <f>IFERROR(SUM('Weekly Timesheet'!M14:M28),0)</f>
        <v>60</v>
      </c>
    </row>
    <row r="67" spans="1:23" ht="0.95" customHeight="1" x14ac:dyDescent="0.25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</row>
    <row r="68" spans="1:23" ht="9.9499999999999993" customHeight="1" x14ac:dyDescent="0.25">
      <c r="A68" s="84"/>
      <c r="B68" s="278" t="s">
        <v>147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80"/>
      <c r="N68" s="279"/>
      <c r="O68" s="279"/>
      <c r="P68" s="279"/>
      <c r="Q68" s="279"/>
      <c r="R68" s="279"/>
      <c r="S68" s="279"/>
      <c r="T68" s="279"/>
      <c r="U68" s="279"/>
      <c r="V68" s="279"/>
      <c r="W68" s="279"/>
    </row>
    <row r="69" spans="1:23" ht="11.1" customHeight="1" x14ac:dyDescent="0.25"/>
    <row r="70" spans="1:23" ht="11.1" customHeight="1" x14ac:dyDescent="0.25"/>
    <row r="71" spans="1:23" ht="11.1" customHeight="1" x14ac:dyDescent="0.25"/>
    <row r="72" spans="1:23" ht="11.1" customHeight="1" x14ac:dyDescent="0.25"/>
    <row r="73" spans="1:23" ht="11.1" customHeight="1" x14ac:dyDescent="0.25"/>
    <row r="74" spans="1:23" ht="12.95" customHeight="1" collapsed="1" x14ac:dyDescent="0.25"/>
    <row r="75" spans="1:23" ht="2.1" customHeight="1" x14ac:dyDescent="0.25"/>
    <row r="76" spans="1:23" ht="14.1" customHeight="1" x14ac:dyDescent="0.25"/>
    <row r="77" spans="1:23" ht="2.1" customHeight="1" x14ac:dyDescent="0.25"/>
    <row r="78" spans="1:23" ht="15" customHeight="1" x14ac:dyDescent="0.25"/>
    <row r="79" spans="1:23" ht="11.1" customHeight="1" x14ac:dyDescent="0.25"/>
    <row r="80" spans="1:23" ht="11.1" customHeight="1" x14ac:dyDescent="0.25"/>
    <row r="81" ht="11.1" customHeight="1" x14ac:dyDescent="0.25"/>
    <row r="82" ht="20.100000000000001" customHeight="1" x14ac:dyDescent="0.25"/>
    <row r="83" ht="11.1" customHeight="1" x14ac:dyDescent="0.25"/>
    <row r="84" ht="11.1" customHeight="1" x14ac:dyDescent="0.25"/>
    <row r="85" ht="11.1" customHeight="1" x14ac:dyDescent="0.25"/>
    <row r="86" ht="11.1" customHeight="1" x14ac:dyDescent="0.25"/>
    <row r="87" ht="11.1" customHeight="1" x14ac:dyDescent="0.25"/>
    <row r="88" ht="11.1" customHeight="1" x14ac:dyDescent="0.25"/>
    <row r="89" ht="11.1" customHeight="1" x14ac:dyDescent="0.25"/>
    <row r="90" ht="11.1" customHeight="1" x14ac:dyDescent="0.25"/>
    <row r="91" ht="11.1" customHeight="1" x14ac:dyDescent="0.25"/>
    <row r="92" ht="11.1" customHeight="1" x14ac:dyDescent="0.25"/>
    <row r="93" ht="11.1" customHeight="1" x14ac:dyDescent="0.25"/>
    <row r="94" ht="12.95" customHeight="1" collapsed="1" x14ac:dyDescent="0.25"/>
    <row r="95" ht="2.1" customHeight="1" x14ac:dyDescent="0.25"/>
    <row r="96" ht="11.1" customHeight="1" x14ac:dyDescent="0.25"/>
  </sheetData>
  <mergeCells count="182">
    <mergeCell ref="P5:W5"/>
    <mergeCell ref="P6:W6"/>
    <mergeCell ref="B10:E10"/>
    <mergeCell ref="B11:E11"/>
    <mergeCell ref="O10:R10"/>
    <mergeCell ref="O11:R11"/>
    <mergeCell ref="S10:W10"/>
    <mergeCell ref="S11:W11"/>
    <mergeCell ref="F10:I10"/>
    <mergeCell ref="F11:I11"/>
    <mergeCell ref="J10:N10"/>
    <mergeCell ref="J11:N11"/>
    <mergeCell ref="B66:E66"/>
    <mergeCell ref="B68:W68"/>
    <mergeCell ref="M60:V60"/>
    <mergeCell ref="M61:V61"/>
    <mergeCell ref="M62:V62"/>
    <mergeCell ref="M63:V63"/>
    <mergeCell ref="M64:V64"/>
    <mergeCell ref="M65:V65"/>
    <mergeCell ref="M51:V51"/>
    <mergeCell ref="M52:V52"/>
    <mergeCell ref="M53:V53"/>
    <mergeCell ref="M54:V54"/>
    <mergeCell ref="M55:V55"/>
    <mergeCell ref="M56:V56"/>
    <mergeCell ref="M57:V57"/>
    <mergeCell ref="M58:V58"/>
    <mergeCell ref="M59:V59"/>
    <mergeCell ref="N36:O36"/>
    <mergeCell ref="N37:O37"/>
    <mergeCell ref="N38:O38"/>
    <mergeCell ref="N39:P39"/>
    <mergeCell ref="B48:W48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D29:G29"/>
    <mergeCell ref="H29:J29"/>
    <mergeCell ref="K29:L29"/>
    <mergeCell ref="B30:C30"/>
    <mergeCell ref="D30:G30"/>
    <mergeCell ref="H30:J30"/>
    <mergeCell ref="K30:L30"/>
    <mergeCell ref="B28:C28"/>
    <mergeCell ref="D28:G28"/>
    <mergeCell ref="H28:J28"/>
    <mergeCell ref="N33:O33"/>
    <mergeCell ref="N34:O34"/>
    <mergeCell ref="N35:O35"/>
    <mergeCell ref="K24:L24"/>
    <mergeCell ref="B25:C25"/>
    <mergeCell ref="D25:G25"/>
    <mergeCell ref="H25:J25"/>
    <mergeCell ref="K25:L25"/>
    <mergeCell ref="N23:O23"/>
    <mergeCell ref="H31:J31"/>
    <mergeCell ref="B26:C26"/>
    <mergeCell ref="D26:G26"/>
    <mergeCell ref="H26:J26"/>
    <mergeCell ref="K26:L26"/>
    <mergeCell ref="B27:C27"/>
    <mergeCell ref="D27:G27"/>
    <mergeCell ref="H27:J27"/>
    <mergeCell ref="K27:L27"/>
    <mergeCell ref="Q17:T17"/>
    <mergeCell ref="V17:W17"/>
    <mergeCell ref="N18:P18"/>
    <mergeCell ref="Q18:T18"/>
    <mergeCell ref="V18:W18"/>
    <mergeCell ref="N19:P19"/>
    <mergeCell ref="Q19:T19"/>
    <mergeCell ref="V19:W19"/>
    <mergeCell ref="B21:L21"/>
    <mergeCell ref="N21:W21"/>
    <mergeCell ref="B18:D18"/>
    <mergeCell ref="N17:P17"/>
    <mergeCell ref="B17:D17"/>
    <mergeCell ref="B19:D19"/>
    <mergeCell ref="B2:W2"/>
    <mergeCell ref="B9:W9"/>
    <mergeCell ref="B13:L13"/>
    <mergeCell ref="N13:W13"/>
    <mergeCell ref="N15:P15"/>
    <mergeCell ref="Q15:T15"/>
    <mergeCell ref="V15:W15"/>
    <mergeCell ref="N16:P16"/>
    <mergeCell ref="Q16:T16"/>
    <mergeCell ref="V16:W16"/>
    <mergeCell ref="B4:D4"/>
    <mergeCell ref="B5:D5"/>
    <mergeCell ref="E4:L4"/>
    <mergeCell ref="E5:L5"/>
    <mergeCell ref="N4:O4"/>
    <mergeCell ref="N5:O5"/>
    <mergeCell ref="B6:D6"/>
    <mergeCell ref="B7:D7"/>
    <mergeCell ref="E6:L6"/>
    <mergeCell ref="E7:L7"/>
    <mergeCell ref="N6:O6"/>
    <mergeCell ref="B15:D15"/>
    <mergeCell ref="B16:D16"/>
    <mergeCell ref="P4:W4"/>
    <mergeCell ref="K28:L28"/>
    <mergeCell ref="B29:C29"/>
    <mergeCell ref="B31:C31"/>
    <mergeCell ref="D31:G31"/>
    <mergeCell ref="K31:L31"/>
    <mergeCell ref="B23:C23"/>
    <mergeCell ref="H32:J32"/>
    <mergeCell ref="H33:J33"/>
    <mergeCell ref="H34:J34"/>
    <mergeCell ref="B32:C32"/>
    <mergeCell ref="D32:G32"/>
    <mergeCell ref="K32:L32"/>
    <mergeCell ref="B33:C33"/>
    <mergeCell ref="D33:G33"/>
    <mergeCell ref="K33:L33"/>
    <mergeCell ref="B34:C34"/>
    <mergeCell ref="D34:G34"/>
    <mergeCell ref="K34:L34"/>
    <mergeCell ref="D23:G23"/>
    <mergeCell ref="H23:J23"/>
    <mergeCell ref="K23:L23"/>
    <mergeCell ref="B24:C24"/>
    <mergeCell ref="D24:G24"/>
    <mergeCell ref="H24:J24"/>
    <mergeCell ref="H35:J35"/>
    <mergeCell ref="H36:J36"/>
    <mergeCell ref="H37:J37"/>
    <mergeCell ref="B35:C35"/>
    <mergeCell ref="D35:G35"/>
    <mergeCell ref="K35:L35"/>
    <mergeCell ref="B36:C36"/>
    <mergeCell ref="D36:G36"/>
    <mergeCell ref="K36:L36"/>
    <mergeCell ref="B37:C37"/>
    <mergeCell ref="D37:G37"/>
    <mergeCell ref="K37:L37"/>
    <mergeCell ref="H38:J38"/>
    <mergeCell ref="H39:J39"/>
    <mergeCell ref="H40:J40"/>
    <mergeCell ref="B38:C38"/>
    <mergeCell ref="D38:G38"/>
    <mergeCell ref="K38:L38"/>
    <mergeCell ref="B39:C39"/>
    <mergeCell ref="D39:G39"/>
    <mergeCell ref="K39:L39"/>
    <mergeCell ref="B40:C40"/>
    <mergeCell ref="D40:G40"/>
    <mergeCell ref="K40:L40"/>
    <mergeCell ref="H41:J41"/>
    <mergeCell ref="H42:J42"/>
    <mergeCell ref="H43:J43"/>
    <mergeCell ref="B41:C41"/>
    <mergeCell ref="D41:G41"/>
    <mergeCell ref="K41:L41"/>
    <mergeCell ref="B42:C42"/>
    <mergeCell ref="D42:G42"/>
    <mergeCell ref="K42:L42"/>
    <mergeCell ref="B43:C43"/>
    <mergeCell ref="D43:G43"/>
    <mergeCell ref="K43:L43"/>
    <mergeCell ref="M50:V50"/>
    <mergeCell ref="H44:J44"/>
    <mergeCell ref="H45:J45"/>
    <mergeCell ref="H46:J46"/>
    <mergeCell ref="B44:C44"/>
    <mergeCell ref="D44:G44"/>
    <mergeCell ref="K44:L44"/>
    <mergeCell ref="B45:C45"/>
    <mergeCell ref="D45:G45"/>
    <mergeCell ref="K45:L45"/>
    <mergeCell ref="B46:C46"/>
    <mergeCell ref="D46:G46"/>
    <mergeCell ref="K46:L46"/>
  </mergeCells>
  <pageMargins left="1.1811023622047245" right="0" top="0" bottom="0" header="0" footer="0"/>
  <pageSetup scale="88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B76C-2F08-4BAD-9AE5-0F57E1FBA9C5}">
  <sheetPr>
    <pageSetUpPr fitToPage="1"/>
  </sheetPr>
  <dimension ref="B1:N96"/>
  <sheetViews>
    <sheetView showGridLines="0" topLeftCell="A5" zoomScale="115" zoomScaleNormal="115" workbookViewId="0">
      <selection activeCell="B60" sqref="B60:D60"/>
    </sheetView>
  </sheetViews>
  <sheetFormatPr defaultColWidth="8.7109375" defaultRowHeight="15" outlineLevelRow="1" x14ac:dyDescent="0.25"/>
  <cols>
    <col min="1" max="1" width="1" customWidth="1"/>
    <col min="2" max="2" width="3" customWidth="1"/>
    <col min="3" max="3" width="10.7109375" customWidth="1"/>
    <col min="4" max="4" width="12.5703125" customWidth="1"/>
    <col min="5" max="5" width="7.5703125" customWidth="1"/>
    <col min="6" max="11" width="7" customWidth="1"/>
    <col min="12" max="12" width="8.42578125" customWidth="1"/>
    <col min="13" max="13" width="13.7109375" customWidth="1"/>
    <col min="14" max="14" width="9.5703125" customWidth="1"/>
    <col min="15" max="15" width="2" customWidth="1"/>
  </cols>
  <sheetData>
    <row r="1" spans="2:14" ht="2.1" customHeight="1" x14ac:dyDescent="0.25"/>
    <row r="2" spans="2:14" ht="21" customHeight="1" x14ac:dyDescent="0.25">
      <c r="B2" s="323" t="s">
        <v>84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</row>
    <row r="3" spans="2:14" ht="2.1" customHeight="1" thickBot="1" x14ac:dyDescent="0.3"/>
    <row r="4" spans="2:14" ht="12.95" customHeight="1" thickBot="1" x14ac:dyDescent="0.3">
      <c r="B4" s="316" t="s">
        <v>85</v>
      </c>
      <c r="C4" s="317"/>
      <c r="D4" s="318" t="str">
        <f>'Weekly Timesheet'!C4</f>
        <v>Utsav Chovatia</v>
      </c>
      <c r="E4" s="318"/>
      <c r="F4" s="318"/>
      <c r="G4" s="318"/>
      <c r="H4" s="316" t="s">
        <v>86</v>
      </c>
      <c r="I4" s="317"/>
      <c r="J4" s="325">
        <f>'Weekly Timesheet'!F4</f>
        <v>46111</v>
      </c>
      <c r="K4" s="326"/>
      <c r="L4" s="326"/>
      <c r="M4" s="326"/>
      <c r="N4" s="326"/>
    </row>
    <row r="5" spans="2:14" ht="12.95" customHeight="1" thickBot="1" x14ac:dyDescent="0.3">
      <c r="B5" s="316" t="s">
        <v>87</v>
      </c>
      <c r="C5" s="317"/>
      <c r="D5" s="327">
        <f>'Weekly Timesheet'!C5</f>
        <v>1</v>
      </c>
      <c r="E5" s="327"/>
      <c r="F5" s="327"/>
      <c r="G5" s="327"/>
      <c r="H5" s="316" t="s">
        <v>88</v>
      </c>
      <c r="I5" s="317"/>
      <c r="J5" s="328" t="str">
        <f>'Weekly Timesheet'!F5</f>
        <v>Submitted</v>
      </c>
      <c r="K5" s="329"/>
      <c r="L5" s="329"/>
      <c r="M5" s="329"/>
      <c r="N5" s="329"/>
    </row>
    <row r="6" spans="2:14" ht="12.95" customHeight="1" thickBot="1" x14ac:dyDescent="0.3">
      <c r="B6" s="316" t="s">
        <v>89</v>
      </c>
      <c r="C6" s="317"/>
      <c r="D6" s="318" t="str">
        <f>'Weekly Timesheet'!C6</f>
        <v>Engineering</v>
      </c>
      <c r="E6" s="318"/>
      <c r="F6" s="318"/>
      <c r="G6" s="318"/>
      <c r="H6" s="316" t="s">
        <v>90</v>
      </c>
      <c r="I6" s="317"/>
      <c r="J6" s="318">
        <f>'Weekly Timesheet'!F6</f>
        <v>0</v>
      </c>
      <c r="K6" s="319"/>
      <c r="L6" s="319"/>
      <c r="M6" s="319"/>
      <c r="N6" s="319"/>
    </row>
    <row r="7" spans="2:14" ht="12.95" customHeight="1" x14ac:dyDescent="0.25">
      <c r="B7" s="316" t="s">
        <v>91</v>
      </c>
      <c r="C7" s="317"/>
      <c r="D7" s="317"/>
      <c r="E7" s="317"/>
      <c r="F7" s="317"/>
      <c r="G7" s="317"/>
      <c r="H7" s="320" t="str">
        <f ca="1">TEXT(TODAY(),"DD MMMM YYYY")</f>
        <v>18 June 2026</v>
      </c>
      <c r="I7" s="321"/>
      <c r="J7" s="321"/>
      <c r="K7" s="322"/>
      <c r="L7" s="322"/>
      <c r="M7" s="322"/>
      <c r="N7" s="322"/>
    </row>
    <row r="8" spans="2:14" ht="2.1" customHeight="1" x14ac:dyDescent="0.25"/>
    <row r="9" spans="2:14" ht="14.1" customHeight="1" thickBot="1" x14ac:dyDescent="0.3">
      <c r="B9" s="341" t="s">
        <v>92</v>
      </c>
      <c r="C9" s="342"/>
      <c r="D9" s="342"/>
      <c r="E9" s="342"/>
      <c r="F9" s="342"/>
      <c r="G9" s="342"/>
      <c r="H9" s="342"/>
      <c r="I9" s="342"/>
      <c r="J9" s="342"/>
      <c r="K9" s="342"/>
      <c r="L9" s="342"/>
      <c r="M9" s="342"/>
      <c r="N9" s="342"/>
    </row>
    <row r="10" spans="2:14" ht="24" customHeight="1" x14ac:dyDescent="0.25">
      <c r="B10" s="343">
        <f>IFERROR(SUM('Weekly Timesheet'!$M$14:$M$28),0)</f>
        <v>60</v>
      </c>
      <c r="C10" s="344"/>
      <c r="D10" s="344"/>
      <c r="E10" s="345">
        <f>'Weekly Timesheet'!I9</f>
        <v>0</v>
      </c>
      <c r="F10" s="346"/>
      <c r="G10" s="346"/>
      <c r="H10" s="347">
        <f>'Weekly Timesheet'!M9</f>
        <v>823.25</v>
      </c>
      <c r="I10" s="348"/>
      <c r="J10" s="349">
        <f>'Weekly Timesheet'!M10</f>
        <v>48</v>
      </c>
      <c r="K10" s="350"/>
      <c r="L10" s="351">
        <f>IFERROR(SUMIF('Weekly Timesheet'!$B$14:$B$28,"Project",'Weekly Timesheet'!$M$14:$M$28),0)</f>
        <v>10</v>
      </c>
      <c r="M10" s="351"/>
      <c r="N10" s="351"/>
    </row>
    <row r="11" spans="2:14" ht="15" customHeight="1" thickBot="1" x14ac:dyDescent="0.3">
      <c r="B11" s="330" t="s">
        <v>93</v>
      </c>
      <c r="C11" s="331"/>
      <c r="D11" s="331"/>
      <c r="E11" s="332" t="s">
        <v>94</v>
      </c>
      <c r="F11" s="333"/>
      <c r="G11" s="333"/>
      <c r="H11" s="334" t="s">
        <v>95</v>
      </c>
      <c r="I11" s="335"/>
      <c r="J11" s="336" t="s">
        <v>96</v>
      </c>
      <c r="K11" s="337"/>
      <c r="L11" s="338" t="s">
        <v>97</v>
      </c>
      <c r="M11" s="338"/>
      <c r="N11" s="338"/>
    </row>
    <row r="12" spans="2:14" ht="2.1" customHeight="1" x14ac:dyDescent="0.25"/>
    <row r="13" spans="2:14" ht="14.1" customHeight="1" x14ac:dyDescent="0.25">
      <c r="B13" s="339" t="s">
        <v>98</v>
      </c>
      <c r="C13" s="340"/>
      <c r="D13" s="340"/>
      <c r="E13" s="340"/>
      <c r="F13" s="340"/>
      <c r="G13" s="340"/>
      <c r="H13" s="340"/>
      <c r="I13" s="340"/>
      <c r="J13" s="340"/>
      <c r="K13" s="340"/>
      <c r="L13" s="340"/>
      <c r="M13" s="340"/>
      <c r="N13" s="340"/>
    </row>
    <row r="14" spans="2:14" ht="2.1" customHeight="1" thickBot="1" x14ac:dyDescent="0.3"/>
    <row r="15" spans="2:14" ht="12.95" customHeight="1" thickBot="1" x14ac:dyDescent="0.3">
      <c r="B15" s="357" t="s">
        <v>99</v>
      </c>
      <c r="C15" s="357"/>
      <c r="D15" s="357"/>
      <c r="E15" s="18" t="s">
        <v>70</v>
      </c>
      <c r="F15" s="18" t="s">
        <v>71</v>
      </c>
      <c r="G15" s="18" t="s">
        <v>72</v>
      </c>
      <c r="H15" s="18" t="s">
        <v>73</v>
      </c>
      <c r="I15" s="18" t="s">
        <v>74</v>
      </c>
      <c r="J15" s="18" t="s">
        <v>75</v>
      </c>
      <c r="K15" s="18" t="s">
        <v>76</v>
      </c>
      <c r="L15" s="18" t="s">
        <v>100</v>
      </c>
      <c r="M15" s="18" t="s">
        <v>101</v>
      </c>
    </row>
    <row r="16" spans="2:14" ht="12" customHeight="1" thickBot="1" x14ac:dyDescent="0.3">
      <c r="B16" s="358" t="s">
        <v>102</v>
      </c>
      <c r="C16" s="358"/>
      <c r="D16" s="358"/>
      <c r="E16" s="62">
        <f>IFERROR(SUM('Weekly Timesheet'!E14:E28)-MAX(0,SUM('Weekly Timesheet'!E14:E28)-8),0)</f>
        <v>8</v>
      </c>
      <c r="F16" s="62">
        <f>IFERROR(SUM('Weekly Timesheet'!F14:F28)-MAX(0,SUM('Weekly Timesheet'!F14:F28)-8),0)</f>
        <v>8</v>
      </c>
      <c r="G16" s="62">
        <f>IFERROR(SUM('Weekly Timesheet'!G14:G28)-MAX(0,SUM('Weekly Timesheet'!G14:G28)-8),0)</f>
        <v>8</v>
      </c>
      <c r="H16" s="62">
        <f>IFERROR(SUM('Weekly Timesheet'!H14:H28)-MAX(0,SUM('Weekly Timesheet'!H14:H28)-8),0)</f>
        <v>8</v>
      </c>
      <c r="I16" s="62">
        <f>IFERROR(SUM('Weekly Timesheet'!I14:I28)-MAX(0,SUM('Weekly Timesheet'!I14:I28)-8),0)</f>
        <v>8</v>
      </c>
      <c r="J16" s="62">
        <v>0</v>
      </c>
      <c r="K16" s="62">
        <v>0</v>
      </c>
      <c r="L16" s="63">
        <f>SUM(E16:K16)</f>
        <v>40</v>
      </c>
      <c r="M16" s="19"/>
      <c r="N16" s="20"/>
    </row>
    <row r="17" spans="2:14" ht="12" customHeight="1" thickBot="1" x14ac:dyDescent="0.3">
      <c r="B17" s="359" t="s">
        <v>103</v>
      </c>
      <c r="C17" s="359"/>
      <c r="D17" s="359"/>
      <c r="E17" s="64">
        <f>IFERROR(MAX(0, SUMIFS('Weekly Timesheet'!E14:E28, 'Weekly Timesheet'!$C$14:$C$28, "&lt;&gt;TIL Payout") - 8), 0)</f>
        <v>0</v>
      </c>
      <c r="F17" s="64">
        <f>IFERROR(MAX(0, SUMIFS('Weekly Timesheet'!F14:F28, 'Weekly Timesheet'!$C$14:$C$28, "&lt;&gt;TIL Payout") - 8), 0)</f>
        <v>0</v>
      </c>
      <c r="G17" s="64">
        <f>IFERROR(MAX(0, SUMIFS('Weekly Timesheet'!G14:G28, 'Weekly Timesheet'!$C$14:$C$28, "&lt;&gt;TIL Payout") - 8), 0)</f>
        <v>0</v>
      </c>
      <c r="H17" s="64">
        <f>IFERROR(MAX(0, SUMIFS('Weekly Timesheet'!H14:H28, 'Weekly Timesheet'!$C$14:$C$28, "&lt;&gt;TIL Payout") - 8), 0)</f>
        <v>0</v>
      </c>
      <c r="I17" s="64">
        <f>IFERROR(MAX(0, SUMIFS('Weekly Timesheet'!I14:I28, 'Weekly Timesheet'!$C$14:$C$28, "&lt;&gt;TIL Payout") - 8), 0)</f>
        <v>0</v>
      </c>
      <c r="J17" s="64">
        <f>SUM('Weekly Timesheet'!J14:J28)</f>
        <v>0</v>
      </c>
      <c r="K17" s="64">
        <f>SUM('Weekly Timesheet'!K14:K28)</f>
        <v>0</v>
      </c>
      <c r="L17" s="65">
        <f>SUM(E17:K17)</f>
        <v>0</v>
      </c>
      <c r="M17" s="21">
        <f>'Weekly Timesheet'!I9</f>
        <v>0</v>
      </c>
      <c r="N17" s="22"/>
    </row>
    <row r="18" spans="2:14" ht="12" customHeight="1" thickBot="1" x14ac:dyDescent="0.3">
      <c r="B18" s="359" t="s">
        <v>127</v>
      </c>
      <c r="C18" s="359"/>
      <c r="D18" s="359"/>
      <c r="E18" s="64">
        <f>IFERROR(SUMIFS('Weekly Timesheet'!E14:E28, 'Weekly Timesheet'!$C$14:$C$28, "TIL Payout"), 0)</f>
        <v>0</v>
      </c>
      <c r="F18" s="64">
        <f>IFERROR(SUMIFS('Weekly Timesheet'!F14:F28, 'Weekly Timesheet'!$C$14:$C$28, "TIL Payout"), 0)</f>
        <v>20</v>
      </c>
      <c r="G18" s="64">
        <f>IFERROR(SUMIFS('Weekly Timesheet'!G14:G28, 'Weekly Timesheet'!$C$14:$C$28, "TIL Payout"), 0)</f>
        <v>0</v>
      </c>
      <c r="H18" s="64">
        <f>IFERROR(SUMIFS('Weekly Timesheet'!H14:H28, 'Weekly Timesheet'!$C$14:$C$28, "TIL Payout"), 0)</f>
        <v>0</v>
      </c>
      <c r="I18" s="64">
        <f>IFERROR(SUMIFS('Weekly Timesheet'!I14:I28, 'Weekly Timesheet'!$C$14:$C$28, "TIL Payout"), 0)</f>
        <v>0</v>
      </c>
      <c r="J18" s="64">
        <f>IFERROR(SUMIFS('Weekly Timesheet'!J14:J28, 'Weekly Timesheet'!$C$14:$C$28, "TIL Payout"), 0)</f>
        <v>0</v>
      </c>
      <c r="K18" s="64">
        <f>IFERROR(SUMIFS('Weekly Timesheet'!K14:K28, 'Weekly Timesheet'!$C$14:$C$28, "TIL Payout"), 0)</f>
        <v>0</v>
      </c>
      <c r="L18" s="65">
        <f>SUM(E18:K18)</f>
        <v>20</v>
      </c>
      <c r="M18" s="21"/>
      <c r="N18" s="22"/>
    </row>
    <row r="19" spans="2:14" ht="12" customHeight="1" thickBot="1" x14ac:dyDescent="0.3">
      <c r="B19" s="360" t="s">
        <v>104</v>
      </c>
      <c r="C19" s="360"/>
      <c r="D19" s="360"/>
      <c r="E19" s="66">
        <f>IFERROR(SUM('Weekly Timesheet'!E14:E28),0)</f>
        <v>8</v>
      </c>
      <c r="F19" s="66">
        <f>IFERROR(SUM('Weekly Timesheet'!F14:F28),0)</f>
        <v>28</v>
      </c>
      <c r="G19" s="66">
        <f>IFERROR(SUM('Weekly Timesheet'!G14:G28),0)</f>
        <v>8</v>
      </c>
      <c r="H19" s="66">
        <f>IFERROR(SUM('Weekly Timesheet'!H14:H28),0)</f>
        <v>8</v>
      </c>
      <c r="I19" s="66">
        <f>IFERROR(SUM('Weekly Timesheet'!I14:I28),0)</f>
        <v>8</v>
      </c>
      <c r="J19" s="66">
        <f>IFERROR(SUM('Weekly Timesheet'!J14:J28),0)</f>
        <v>0</v>
      </c>
      <c r="K19" s="66">
        <f>IFERROR(SUM('Weekly Timesheet'!K14:K28),0)</f>
        <v>0</v>
      </c>
      <c r="L19" s="67">
        <f>SUM(E19:K19)</f>
        <v>60</v>
      </c>
      <c r="M19" s="23"/>
      <c r="N19" s="24"/>
    </row>
    <row r="20" spans="2:14" ht="2.1" customHeight="1" x14ac:dyDescent="0.25"/>
    <row r="21" spans="2:14" ht="14.1" customHeight="1" x14ac:dyDescent="0.25">
      <c r="B21" s="339" t="s">
        <v>105</v>
      </c>
      <c r="C21" s="340"/>
      <c r="D21" s="340"/>
      <c r="E21" s="340"/>
      <c r="F21" s="340"/>
      <c r="G21" s="340"/>
      <c r="H21" s="340"/>
      <c r="I21" s="340"/>
      <c r="J21" s="340"/>
      <c r="K21" s="340"/>
      <c r="L21" s="340"/>
      <c r="M21" s="340"/>
      <c r="N21" s="340"/>
    </row>
    <row r="22" spans="2:14" ht="2.1" customHeight="1" thickBot="1" x14ac:dyDescent="0.3"/>
    <row r="23" spans="2:14" ht="12.95" customHeight="1" thickBot="1" x14ac:dyDescent="0.3">
      <c r="B23" s="352" t="s">
        <v>99</v>
      </c>
      <c r="C23" s="352"/>
      <c r="D23" s="352"/>
      <c r="E23" s="352"/>
      <c r="F23" s="352"/>
      <c r="G23" s="352"/>
      <c r="H23" s="352"/>
      <c r="I23" s="352" t="s">
        <v>106</v>
      </c>
      <c r="J23" s="352"/>
      <c r="K23" s="352"/>
      <c r="L23" s="352" t="s">
        <v>107</v>
      </c>
      <c r="M23" s="352"/>
      <c r="N23" s="18"/>
    </row>
    <row r="24" spans="2:14" ht="12" customHeight="1" thickBot="1" x14ac:dyDescent="0.3">
      <c r="B24" s="353" t="s">
        <v>108</v>
      </c>
      <c r="C24" s="353"/>
      <c r="D24" s="353"/>
      <c r="E24" s="353"/>
      <c r="F24" s="353"/>
      <c r="G24" s="353"/>
      <c r="H24" s="353"/>
      <c r="I24" s="354">
        <f>IFERROR(SUMIF('Weekly Timesheet'!$B$14:$B$28,"Project",'Weekly Timesheet'!$M$14:$M$28),0)</f>
        <v>10</v>
      </c>
      <c r="J24" s="354"/>
      <c r="K24" s="354"/>
      <c r="L24" s="355">
        <f>IFERROR(SUMIF('Weekly Timesheet'!$B$14:$B$28,"Project",'Weekly Timesheet'!$M$14:$M$28)/(IFERROR(SUM('Weekly Timesheet'!$M$14:$M$28),1)),0)</f>
        <v>0.16666666666666666</v>
      </c>
      <c r="M24" s="356"/>
      <c r="N24" s="356"/>
    </row>
    <row r="25" spans="2:14" ht="12" customHeight="1" thickBot="1" x14ac:dyDescent="0.3">
      <c r="B25" s="365" t="s">
        <v>109</v>
      </c>
      <c r="C25" s="365"/>
      <c r="D25" s="365"/>
      <c r="E25" s="365"/>
      <c r="F25" s="365"/>
      <c r="G25" s="365"/>
      <c r="H25" s="365"/>
      <c r="I25" s="366">
        <f>IFERROR(SUMIF('Weekly Timesheet'!$B$14:$B$28,"Admin",'Weekly Timesheet'!$M$14:$M$28),0)</f>
        <v>29</v>
      </c>
      <c r="J25" s="366"/>
      <c r="K25" s="366"/>
      <c r="L25" s="367">
        <f>IFERROR(SUMIF('Weekly Timesheet'!$B$14:$B$28,"Admin",'Weekly Timesheet'!$M$14:$M$28)/(IFERROR(SUM('Weekly Timesheet'!$M$14:$M$28),1)),0)</f>
        <v>0.48333333333333334</v>
      </c>
      <c r="M25" s="368"/>
      <c r="N25" s="368"/>
    </row>
    <row r="26" spans="2:14" ht="12" customHeight="1" thickBot="1" x14ac:dyDescent="0.3">
      <c r="B26" s="369" t="s">
        <v>110</v>
      </c>
      <c r="C26" s="369"/>
      <c r="D26" s="369"/>
      <c r="E26" s="369"/>
      <c r="F26" s="369"/>
      <c r="G26" s="369"/>
      <c r="H26" s="369"/>
      <c r="I26" s="370">
        <f>IFERROR(SUMIF('Weekly Timesheet'!$B$14:$B$28,"Office &amp; Sales",'Weekly Timesheet'!$M$14:$M$28),0)</f>
        <v>21</v>
      </c>
      <c r="J26" s="370"/>
      <c r="K26" s="370"/>
      <c r="L26" s="371">
        <f>IFERROR(SUMIF('Weekly Timesheet'!$B$14:$B$28,"Office &amp; Sales",'Weekly Timesheet'!$M$14:$M$28)/(IFERROR(SUM('Weekly Timesheet'!$M$14:$M$28),1)),0)</f>
        <v>0.35</v>
      </c>
      <c r="M26" s="372"/>
      <c r="N26" s="372"/>
    </row>
    <row r="27" spans="2:14" ht="12" customHeight="1" thickBot="1" x14ac:dyDescent="0.3">
      <c r="B27" s="361" t="s">
        <v>111</v>
      </c>
      <c r="C27" s="361"/>
      <c r="D27" s="361"/>
      <c r="E27" s="361"/>
      <c r="F27" s="361"/>
      <c r="G27" s="361"/>
      <c r="H27" s="361"/>
      <c r="I27" s="362">
        <f>IFERROR(SUM('Weekly Timesheet'!$M$14:$M$28),0)</f>
        <v>60</v>
      </c>
      <c r="J27" s="362"/>
      <c r="K27" s="362"/>
      <c r="L27" s="363" t="s">
        <v>112</v>
      </c>
      <c r="M27" s="364"/>
      <c r="N27" s="364"/>
    </row>
    <row r="28" spans="2:14" ht="2.1" customHeight="1" x14ac:dyDescent="0.25"/>
    <row r="29" spans="2:14" ht="14.1" customHeight="1" x14ac:dyDescent="0.25">
      <c r="B29" s="339" t="s">
        <v>113</v>
      </c>
      <c r="C29" s="340"/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</row>
    <row r="30" spans="2:14" ht="2.1" customHeight="1" thickBot="1" x14ac:dyDescent="0.3"/>
    <row r="31" spans="2:14" ht="12.95" customHeight="1" thickBot="1" x14ac:dyDescent="0.3">
      <c r="B31" s="352" t="s">
        <v>114</v>
      </c>
      <c r="C31" s="352"/>
      <c r="D31" s="352"/>
      <c r="E31" s="352" t="s">
        <v>68</v>
      </c>
      <c r="F31" s="352"/>
      <c r="G31" s="352"/>
      <c r="H31" s="352" t="s">
        <v>115</v>
      </c>
      <c r="I31" s="352"/>
      <c r="J31" s="352"/>
      <c r="K31" s="352" t="s">
        <v>116</v>
      </c>
      <c r="L31" s="352"/>
      <c r="M31" s="352"/>
      <c r="N31" s="18"/>
    </row>
    <row r="32" spans="2:14" ht="12" customHeight="1" thickBot="1" x14ac:dyDescent="0.3">
      <c r="B32" s="381" t="s">
        <v>108</v>
      </c>
      <c r="C32" s="381"/>
      <c r="D32" s="381"/>
      <c r="E32" s="374" t="s">
        <v>117</v>
      </c>
      <c r="F32" s="374"/>
      <c r="G32" s="374"/>
      <c r="H32" s="375">
        <f>IFERROR(SUMIFS('Weekly Timesheet'!$M$14:$M$28,'Weekly Timesheet'!$C$14:$C$28,"Travel"),0)</f>
        <v>0</v>
      </c>
      <c r="I32" s="375"/>
      <c r="J32" s="375"/>
      <c r="K32" s="376">
        <f>IFERROR(SUMIFS('Weekly Timesheet'!$M$14:$M$28,'Weekly Timesheet'!$C$14:$C$28,"Travel")/(IFERROR(SUMIF('Weekly Timesheet'!$B$14:$B$28,"Project",'Weekly Timesheet'!$M$14:$M$28),1)),0)</f>
        <v>0</v>
      </c>
      <c r="L32" s="376"/>
      <c r="M32" s="376"/>
      <c r="N32" s="25"/>
    </row>
    <row r="33" spans="2:14" ht="12.95" customHeight="1" outlineLevel="1" thickBot="1" x14ac:dyDescent="0.3">
      <c r="B33" s="377"/>
      <c r="C33" s="377"/>
      <c r="D33" s="377"/>
      <c r="E33" s="378" t="s">
        <v>118</v>
      </c>
      <c r="F33" s="378"/>
      <c r="G33" s="378"/>
      <c r="H33" s="379">
        <f>IFERROR(SUMIFS('Weekly Timesheet'!$M$14:$M$28,'Weekly Timesheet'!$C$14:$C$28,"Site Travel"),0)</f>
        <v>8</v>
      </c>
      <c r="I33" s="379"/>
      <c r="J33" s="379"/>
      <c r="K33" s="380">
        <f>IFERROR(SUMIFS('Weekly Timesheet'!$M$14:$M$28,'Weekly Timesheet'!$C$14:$C$28,"Site Travel")/(IFERROR(SUMIF('Weekly Timesheet'!$B$14:$B$28,"Project",'Weekly Timesheet'!$M$14:$M$28),1)),0)</f>
        <v>0.8</v>
      </c>
      <c r="L33" s="380"/>
      <c r="M33" s="380"/>
      <c r="N33" s="26"/>
    </row>
    <row r="34" spans="2:14" ht="12.95" customHeight="1" outlineLevel="1" thickBot="1" x14ac:dyDescent="0.3">
      <c r="B34" s="373"/>
      <c r="C34" s="373"/>
      <c r="D34" s="373"/>
      <c r="E34" s="374" t="s">
        <v>119</v>
      </c>
      <c r="F34" s="374"/>
      <c r="G34" s="374"/>
      <c r="H34" s="375">
        <f>IFERROR(SUMIFS('Weekly Timesheet'!$M$14:$M$28,'Weekly Timesheet'!$C$14:$C$28,"Site Work"),0)</f>
        <v>0</v>
      </c>
      <c r="I34" s="375"/>
      <c r="J34" s="375"/>
      <c r="K34" s="376">
        <f>IFERROR(SUMIFS('Weekly Timesheet'!$M$14:$M$28,'Weekly Timesheet'!$C$14:$C$28,"Site Work")/(IFERROR(SUMIF('Weekly Timesheet'!$B$14:$B$28,"Project",'Weekly Timesheet'!$M$14:$M$28),1)),0)</f>
        <v>0</v>
      </c>
      <c r="L34" s="376"/>
      <c r="M34" s="376"/>
      <c r="N34" s="25"/>
    </row>
    <row r="35" spans="2:14" ht="12.95" customHeight="1" outlineLevel="1" thickBot="1" x14ac:dyDescent="0.3">
      <c r="B35" s="377"/>
      <c r="C35" s="377"/>
      <c r="D35" s="377"/>
      <c r="E35" s="378" t="s">
        <v>120</v>
      </c>
      <c r="F35" s="378"/>
      <c r="G35" s="378"/>
      <c r="H35" s="379">
        <f>IFERROR(SUMIFS('Weekly Timesheet'!$M$14:$M$28,'Weekly Timesheet'!$C$14:$C$28,"Report"),0)</f>
        <v>2</v>
      </c>
      <c r="I35" s="379"/>
      <c r="J35" s="379"/>
      <c r="K35" s="380">
        <f>IFERROR(SUMIFS('Weekly Timesheet'!$M$14:$M$28,'Weekly Timesheet'!$C$14:$C$28,"Report")/(IFERROR(SUMIF('Weekly Timesheet'!$B$14:$B$28,"Project",'Weekly Timesheet'!$M$14:$M$28),1)),0)</f>
        <v>0.2</v>
      </c>
      <c r="L35" s="380"/>
      <c r="M35" s="380"/>
      <c r="N35" s="26"/>
    </row>
    <row r="36" spans="2:14" ht="12.95" customHeight="1" outlineLevel="1" thickBot="1" x14ac:dyDescent="0.3">
      <c r="B36" s="373"/>
      <c r="C36" s="373"/>
      <c r="D36" s="373"/>
      <c r="E36" s="374" t="s">
        <v>121</v>
      </c>
      <c r="F36" s="374"/>
      <c r="G36" s="374"/>
      <c r="H36" s="375">
        <f>IFERROR(SUMIFS('Weekly Timesheet'!$M$14:$M$28,'Weekly Timesheet'!$C$14:$C$28,"Extra Integration"),0)</f>
        <v>0</v>
      </c>
      <c r="I36" s="375"/>
      <c r="J36" s="375"/>
      <c r="K36" s="376">
        <f>IFERROR(SUMIFS('Weekly Timesheet'!$M$14:$M$28,'Weekly Timesheet'!$C$14:$C$28,"Extra Integration")/(IFERROR(SUMIF('Weekly Timesheet'!$B$14:$B$28,"Project",'Weekly Timesheet'!$M$14:$M$28),1)),0)</f>
        <v>0</v>
      </c>
      <c r="L36" s="376"/>
      <c r="M36" s="376"/>
      <c r="N36" s="25"/>
    </row>
    <row r="37" spans="2:14" ht="12.95" customHeight="1" outlineLevel="1" thickBot="1" x14ac:dyDescent="0.3">
      <c r="B37" s="377"/>
      <c r="C37" s="377"/>
      <c r="D37" s="377"/>
      <c r="E37" s="378" t="s">
        <v>122</v>
      </c>
      <c r="F37" s="378"/>
      <c r="G37" s="378"/>
      <c r="H37" s="379">
        <f>IFERROR(SUMIFS('Weekly Timesheet'!$M$14:$M$28,'Weekly Timesheet'!$C$14:$C$28,"Simulation"),0)</f>
        <v>0</v>
      </c>
      <c r="I37" s="379"/>
      <c r="J37" s="379"/>
      <c r="K37" s="380">
        <f>IFERROR(SUMIFS('Weekly Timesheet'!$M$14:$M$28,'Weekly Timesheet'!$C$14:$C$28,"Simulation")/(IFERROR(SUMIF('Weekly Timesheet'!$B$14:$B$28,"Project",'Weekly Timesheet'!$M$14:$M$28),1)),0)</f>
        <v>0</v>
      </c>
      <c r="L37" s="380"/>
      <c r="M37" s="380"/>
      <c r="N37" s="26"/>
    </row>
    <row r="38" spans="2:14" ht="12.95" customHeight="1" outlineLevel="1" thickBot="1" x14ac:dyDescent="0.3">
      <c r="B38" s="373"/>
      <c r="C38" s="373"/>
      <c r="D38" s="373"/>
      <c r="E38" s="374" t="s">
        <v>123</v>
      </c>
      <c r="F38" s="374"/>
      <c r="G38" s="374"/>
      <c r="H38" s="375">
        <f>IFERROR(SUMIFS('Weekly Timesheet'!$M$14:$M$28,'Weekly Timesheet'!$C$14:$C$28,"Office Preparation"),0)</f>
        <v>0</v>
      </c>
      <c r="I38" s="375"/>
      <c r="J38" s="375"/>
      <c r="K38" s="376">
        <f>IFERROR(SUMIFS('Weekly Timesheet'!$M$14:$M$28,'Weekly Timesheet'!$C$14:$C$28,"Office Preparation")/(IFERROR(SUMIF('Weekly Timesheet'!$B$14:$B$28,"Project",'Weekly Timesheet'!$M$14:$M$28),1)),0)</f>
        <v>0</v>
      </c>
      <c r="L38" s="376"/>
      <c r="M38" s="376"/>
      <c r="N38" s="25"/>
    </row>
    <row r="39" spans="2:14" ht="12.95" customHeight="1" outlineLevel="1" thickBot="1" x14ac:dyDescent="0.3">
      <c r="B39" s="377"/>
      <c r="C39" s="377"/>
      <c r="D39" s="377"/>
      <c r="E39" s="378" t="s">
        <v>124</v>
      </c>
      <c r="F39" s="378"/>
      <c r="G39" s="378"/>
      <c r="H39" s="379">
        <f>IFERROR(SUMIFS('Weekly Timesheet'!$M$14:$M$28,'Weekly Timesheet'!$C$14:$C$28,"Project Management"),0)</f>
        <v>0</v>
      </c>
      <c r="I39" s="379"/>
      <c r="J39" s="379"/>
      <c r="K39" s="380">
        <f>IFERROR(SUMIFS('Weekly Timesheet'!$M$14:$M$28,'Weekly Timesheet'!$C$14:$C$28,"Project Management")/(IFERROR(SUMIF('Weekly Timesheet'!$B$14:$B$28,"Project",'Weekly Timesheet'!$M$14:$M$28),1)),0)</f>
        <v>0</v>
      </c>
      <c r="L39" s="380"/>
      <c r="M39" s="380"/>
      <c r="N39" s="26"/>
    </row>
    <row r="40" spans="2:14" ht="12.95" customHeight="1" outlineLevel="1" thickBot="1" x14ac:dyDescent="0.3">
      <c r="B40" s="373"/>
      <c r="C40" s="373"/>
      <c r="D40" s="373"/>
      <c r="E40" s="374" t="s">
        <v>125</v>
      </c>
      <c r="F40" s="374"/>
      <c r="G40" s="374"/>
      <c r="H40" s="375">
        <f>IFERROR(SUMIFS('Weekly Timesheet'!$M$14:$M$28,'Weekly Timesheet'!$C$14:$C$28,"Engineering Work"),0)</f>
        <v>0</v>
      </c>
      <c r="I40" s="375"/>
      <c r="J40" s="375"/>
      <c r="K40" s="376">
        <f>IFERROR(SUMIFS('Weekly Timesheet'!$M$14:$M$28,'Weekly Timesheet'!$C$14:$C$28,"Engineering Work")/(IFERROR(SUMIF('Weekly Timesheet'!$B$14:$B$28,"Project",'Weekly Timesheet'!$M$14:$M$28),1)),0)</f>
        <v>0</v>
      </c>
      <c r="L40" s="376"/>
      <c r="M40" s="376"/>
      <c r="N40" s="25"/>
    </row>
    <row r="41" spans="2:14" ht="12" customHeight="1" thickBot="1" x14ac:dyDescent="0.3">
      <c r="B41" s="390" t="s">
        <v>109</v>
      </c>
      <c r="C41" s="390"/>
      <c r="D41" s="390"/>
      <c r="E41" s="387" t="s">
        <v>126</v>
      </c>
      <c r="F41" s="387"/>
      <c r="G41" s="387"/>
      <c r="H41" s="388">
        <f>IFERROR(SUMIFS('Weekly Timesheet'!$M$14:$M$28,'Weekly Timesheet'!$C$14:$C$28,"Overtime Taken"),0)</f>
        <v>0</v>
      </c>
      <c r="I41" s="388"/>
      <c r="J41" s="388"/>
      <c r="K41" s="389">
        <f>IFERROR(SUMIFS('Weekly Timesheet'!$M$14:$M$28,'Weekly Timesheet'!$C$14:$C$28,"Overtime Taken")/(IFERROR(SUMIF('Weekly Timesheet'!$B$14:$B$28,"Admin",'Weekly Timesheet'!$M$14:$M$28),1)),0)</f>
        <v>0</v>
      </c>
      <c r="L41" s="389"/>
      <c r="M41" s="389"/>
      <c r="N41" s="27"/>
    </row>
    <row r="42" spans="2:14" ht="12.95" customHeight="1" outlineLevel="1" thickBot="1" x14ac:dyDescent="0.3">
      <c r="B42" s="382"/>
      <c r="C42" s="382"/>
      <c r="D42" s="382"/>
      <c r="E42" s="383" t="s">
        <v>127</v>
      </c>
      <c r="F42" s="383"/>
      <c r="G42" s="383"/>
      <c r="H42" s="384">
        <f>IFERROR(SUMIFS('Weekly Timesheet'!$M$14:$M$28,'Weekly Timesheet'!$C$14:$C$28,"TIL Payout"),0)</f>
        <v>20</v>
      </c>
      <c r="I42" s="384"/>
      <c r="J42" s="384"/>
      <c r="K42" s="385">
        <f>IFERROR(SUMIFS('Weekly Timesheet'!$M$14:$M$28,'Weekly Timesheet'!$C$14:$C$28,"TIL Payout")/(IFERROR(SUMIF('Weekly Timesheet'!$B$14:$B$28,"Admin",'Weekly Timesheet'!$M$14:$M$28),1)),0)</f>
        <v>0.68965517241379315</v>
      </c>
      <c r="L42" s="385"/>
      <c r="M42" s="385"/>
      <c r="N42" s="28"/>
    </row>
    <row r="43" spans="2:14" ht="12.95" customHeight="1" outlineLevel="1" thickBot="1" x14ac:dyDescent="0.3">
      <c r="B43" s="386"/>
      <c r="C43" s="386"/>
      <c r="D43" s="386"/>
      <c r="E43" s="387" t="s">
        <v>128</v>
      </c>
      <c r="F43" s="387"/>
      <c r="G43" s="387"/>
      <c r="H43" s="388">
        <f>IFERROR(SUMIFS('Weekly Timesheet'!$M$14:$M$28,'Weekly Timesheet'!$C$14:$C$28,"Sick Time"),0)</f>
        <v>0</v>
      </c>
      <c r="I43" s="388"/>
      <c r="J43" s="388"/>
      <c r="K43" s="389">
        <f>IFERROR(SUMIFS('Weekly Timesheet'!$M$14:$M$28,'Weekly Timesheet'!$C$14:$C$28,"Sick Time")/(IFERROR(SUMIF('Weekly Timesheet'!$B$14:$B$28,"Admin",'Weekly Timesheet'!$M$14:$M$28),1)),0)</f>
        <v>0</v>
      </c>
      <c r="L43" s="389"/>
      <c r="M43" s="389"/>
      <c r="N43" s="27"/>
    </row>
    <row r="44" spans="2:14" ht="12.95" customHeight="1" outlineLevel="1" thickBot="1" x14ac:dyDescent="0.3">
      <c r="B44" s="382"/>
      <c r="C44" s="382"/>
      <c r="D44" s="382"/>
      <c r="E44" s="383" t="s">
        <v>129</v>
      </c>
      <c r="F44" s="383"/>
      <c r="G44" s="383"/>
      <c r="H44" s="384">
        <f>IFERROR(SUMIFS('Weekly Timesheet'!$M$14:$M$28,'Weekly Timesheet'!$C$14:$C$28,"Vacation Hours"),0)</f>
        <v>0</v>
      </c>
      <c r="I44" s="384"/>
      <c r="J44" s="384"/>
      <c r="K44" s="385">
        <f>IFERROR(SUMIFS('Weekly Timesheet'!$M$14:$M$28,'Weekly Timesheet'!$C$14:$C$28,"Vacation Hours")/(IFERROR(SUMIF('Weekly Timesheet'!$B$14:$B$28,"Admin",'Weekly Timesheet'!$M$14:$M$28),1)),0)</f>
        <v>0</v>
      </c>
      <c r="L44" s="385"/>
      <c r="M44" s="385"/>
      <c r="N44" s="28"/>
    </row>
    <row r="45" spans="2:14" ht="12.95" customHeight="1" outlineLevel="1" thickBot="1" x14ac:dyDescent="0.3">
      <c r="B45" s="386"/>
      <c r="C45" s="386"/>
      <c r="D45" s="386"/>
      <c r="E45" s="387" t="s">
        <v>130</v>
      </c>
      <c r="F45" s="387"/>
      <c r="G45" s="387"/>
      <c r="H45" s="388">
        <f>IFERROR(SUMIFS('Weekly Timesheet'!$M$14:$M$28,'Weekly Timesheet'!$C$14:$C$28,"Statutory Holiday"),0)</f>
        <v>8</v>
      </c>
      <c r="I45" s="388"/>
      <c r="J45" s="388"/>
      <c r="K45" s="389">
        <f>IFERROR(SUMIFS('Weekly Timesheet'!$M$14:$M$28,'Weekly Timesheet'!$C$14:$C$28,"Statutory Holiday")/(IFERROR(SUMIF('Weekly Timesheet'!$B$14:$B$28,"Admin",'Weekly Timesheet'!$M$14:$M$28),1)),0)</f>
        <v>0.27586206896551724</v>
      </c>
      <c r="L45" s="389"/>
      <c r="M45" s="389"/>
      <c r="N45" s="27"/>
    </row>
    <row r="46" spans="2:14" ht="12.95" customHeight="1" outlineLevel="1" thickBot="1" x14ac:dyDescent="0.3">
      <c r="B46" s="382"/>
      <c r="C46" s="382"/>
      <c r="D46" s="382"/>
      <c r="E46" s="383" t="s">
        <v>131</v>
      </c>
      <c r="F46" s="383"/>
      <c r="G46" s="383"/>
      <c r="H46" s="384">
        <f>IFERROR(SUMIFS('Weekly Timesheet'!$M$14:$M$28,'Weekly Timesheet'!$C$14:$C$28,"Administrative"),0)</f>
        <v>0</v>
      </c>
      <c r="I46" s="384"/>
      <c r="J46" s="384"/>
      <c r="K46" s="385">
        <f>IFERROR(SUMIFS('Weekly Timesheet'!$M$14:$M$28,'Weekly Timesheet'!$C$14:$C$28,"Administrative")/(IFERROR(SUMIF('Weekly Timesheet'!$B$14:$B$28,"Admin",'Weekly Timesheet'!$M$14:$M$28),1)),0)</f>
        <v>0</v>
      </c>
      <c r="L46" s="385"/>
      <c r="M46" s="385"/>
      <c r="N46" s="28"/>
    </row>
    <row r="47" spans="2:14" ht="12.95" customHeight="1" outlineLevel="1" thickBot="1" x14ac:dyDescent="0.3">
      <c r="B47" s="386"/>
      <c r="C47" s="386"/>
      <c r="D47" s="386"/>
      <c r="E47" s="387" t="s">
        <v>132</v>
      </c>
      <c r="F47" s="387"/>
      <c r="G47" s="387"/>
      <c r="H47" s="388">
        <f>IFERROR(SUMIFS('Weekly Timesheet'!$M$14:$M$28,'Weekly Timesheet'!$C$14:$C$28,"Toolbox Meeting"),0)</f>
        <v>1</v>
      </c>
      <c r="I47" s="388"/>
      <c r="J47" s="388"/>
      <c r="K47" s="389">
        <f>IFERROR(SUMIFS('Weekly Timesheet'!$M$14:$M$28,'Weekly Timesheet'!$C$14:$C$28,"Toolbox Meeting")/(IFERROR(SUMIF('Weekly Timesheet'!$B$14:$B$28,"Admin",'Weekly Timesheet'!$M$14:$M$28),1)),0)</f>
        <v>3.4482758620689655E-2</v>
      </c>
      <c r="L47" s="389"/>
      <c r="M47" s="389"/>
      <c r="N47" s="27"/>
    </row>
    <row r="48" spans="2:14" ht="12" customHeight="1" thickBot="1" x14ac:dyDescent="0.3">
      <c r="B48" s="399" t="s">
        <v>110</v>
      </c>
      <c r="C48" s="399"/>
      <c r="D48" s="399"/>
      <c r="E48" s="392" t="s">
        <v>133</v>
      </c>
      <c r="F48" s="392"/>
      <c r="G48" s="392"/>
      <c r="H48" s="393">
        <f>IFERROR(SUMIFS('Weekly Timesheet'!$M$14:$M$28,'Weekly Timesheet'!$C$14:$C$28,"Customer Contact"),0)</f>
        <v>0</v>
      </c>
      <c r="I48" s="393"/>
      <c r="J48" s="393"/>
      <c r="K48" s="394">
        <f>IFERROR(SUMIFS('Weekly Timesheet'!$M$14:$M$28,'Weekly Timesheet'!$C$14:$C$28,"Customer Contact")/(IFERROR(SUMIF('Weekly Timesheet'!$B$14:$B$28,"Office &amp; Sales",'Weekly Timesheet'!$M$14:$M$28),1)),0)</f>
        <v>0</v>
      </c>
      <c r="L48" s="394"/>
      <c r="M48" s="394"/>
      <c r="N48" s="29"/>
    </row>
    <row r="49" spans="2:14" ht="12.95" hidden="1" customHeight="1" outlineLevel="1" thickBot="1" x14ac:dyDescent="0.3">
      <c r="B49" s="395"/>
      <c r="C49" s="395"/>
      <c r="D49" s="395"/>
      <c r="E49" s="396" t="s">
        <v>134</v>
      </c>
      <c r="F49" s="396"/>
      <c r="G49" s="396"/>
      <c r="H49" s="397">
        <f>IFERROR(SUMIFS('Weekly Timesheet'!$M$14:$M$28,'Weekly Timesheet'!$C$14:$C$28,"Project Development"),0)</f>
        <v>0</v>
      </c>
      <c r="I49" s="397"/>
      <c r="J49" s="397"/>
      <c r="K49" s="398">
        <f>IFERROR(SUMIFS('Weekly Timesheet'!$M$14:$M$28,'Weekly Timesheet'!$C$14:$C$28,"Project Development")/(IFERROR(SUMIF('Weekly Timesheet'!$B$14:$B$28,"Office &amp; Sales",'Weekly Timesheet'!$M$14:$M$28),1)),0)</f>
        <v>0</v>
      </c>
      <c r="L49" s="398"/>
      <c r="M49" s="398"/>
      <c r="N49" s="30"/>
    </row>
    <row r="50" spans="2:14" ht="12.95" hidden="1" customHeight="1" outlineLevel="1" thickBot="1" x14ac:dyDescent="0.3">
      <c r="B50" s="391"/>
      <c r="C50" s="391"/>
      <c r="D50" s="391"/>
      <c r="E50" s="392" t="s">
        <v>135</v>
      </c>
      <c r="F50" s="392"/>
      <c r="G50" s="392"/>
      <c r="H50" s="393">
        <f>IFERROR(SUMIFS('Weekly Timesheet'!$M$14:$M$28,'Weekly Timesheet'!$C$14:$C$28,"Proposals &amp; Quotes"),0)</f>
        <v>0</v>
      </c>
      <c r="I50" s="393"/>
      <c r="J50" s="393"/>
      <c r="K50" s="394">
        <f>IFERROR(SUMIFS('Weekly Timesheet'!$M$14:$M$28,'Weekly Timesheet'!$C$14:$C$28,"Proposals &amp; Quotes")/(IFERROR(SUMIF('Weekly Timesheet'!$B$14:$B$28,"Office &amp; Sales",'Weekly Timesheet'!$M$14:$M$28),1)),0)</f>
        <v>0</v>
      </c>
      <c r="L50" s="394"/>
      <c r="M50" s="394"/>
      <c r="N50" s="29"/>
    </row>
    <row r="51" spans="2:14" ht="12.95" hidden="1" customHeight="1" outlineLevel="1" thickBot="1" x14ac:dyDescent="0.3">
      <c r="B51" s="395"/>
      <c r="C51" s="395"/>
      <c r="D51" s="395"/>
      <c r="E51" s="396" t="s">
        <v>136</v>
      </c>
      <c r="F51" s="396"/>
      <c r="G51" s="396"/>
      <c r="H51" s="397">
        <f>IFERROR(SUMIFS('Weekly Timesheet'!$M$14:$M$28,'Weekly Timesheet'!$C$14:$C$28,"Inventory"),0)</f>
        <v>0</v>
      </c>
      <c r="I51" s="397"/>
      <c r="J51" s="397"/>
      <c r="K51" s="398">
        <f>IFERROR(SUMIFS('Weekly Timesheet'!$M$14:$M$28,'Weekly Timesheet'!$C$14:$C$28,"Inventory")/(IFERROR(SUMIF('Weekly Timesheet'!$B$14:$B$28,"Office &amp; Sales",'Weekly Timesheet'!$M$14:$M$28),1)),0)</f>
        <v>0</v>
      </c>
      <c r="L51" s="398"/>
      <c r="M51" s="398"/>
      <c r="N51" s="30"/>
    </row>
    <row r="52" spans="2:14" ht="12.95" hidden="1" customHeight="1" outlineLevel="1" thickBot="1" x14ac:dyDescent="0.3">
      <c r="B52" s="391"/>
      <c r="C52" s="391"/>
      <c r="D52" s="391"/>
      <c r="E52" s="392" t="s">
        <v>137</v>
      </c>
      <c r="F52" s="392"/>
      <c r="G52" s="392"/>
      <c r="H52" s="393">
        <f>IFERROR(SUMIFS('Weekly Timesheet'!$M$14:$M$28,'Weekly Timesheet'!$C$14:$C$28,"SRU Study"),0)</f>
        <v>0</v>
      </c>
      <c r="I52" s="393"/>
      <c r="J52" s="393"/>
      <c r="K52" s="394">
        <f>IFERROR(SUMIFS('Weekly Timesheet'!$M$14:$M$28,'Weekly Timesheet'!$C$14:$C$28,"SRU Study")/(IFERROR(SUMIF('Weekly Timesheet'!$B$14:$B$28,"Office &amp; Sales",'Weekly Timesheet'!$M$14:$M$28),1)),0)</f>
        <v>0</v>
      </c>
      <c r="L52" s="394"/>
      <c r="M52" s="394"/>
      <c r="N52" s="29"/>
    </row>
    <row r="53" spans="2:14" ht="12.95" hidden="1" customHeight="1" outlineLevel="1" thickBot="1" x14ac:dyDescent="0.3">
      <c r="B53" s="395"/>
      <c r="C53" s="395"/>
      <c r="D53" s="395"/>
      <c r="E53" s="396" t="s">
        <v>138</v>
      </c>
      <c r="F53" s="396"/>
      <c r="G53" s="396"/>
      <c r="H53" s="397">
        <f>IFERROR(SUMIFS('Weekly Timesheet'!$M$14:$M$28,'Weekly Timesheet'!$C$14:$C$28,"Conference"),0)</f>
        <v>0</v>
      </c>
      <c r="I53" s="397"/>
      <c r="J53" s="397"/>
      <c r="K53" s="398">
        <f>IFERROR(SUMIFS('Weekly Timesheet'!$M$14:$M$28,'Weekly Timesheet'!$C$14:$C$28,"Conference")/(IFERROR(SUMIF('Weekly Timesheet'!$B$14:$B$28,"Office &amp; Sales",'Weekly Timesheet'!$M$14:$M$28),1)),0)</f>
        <v>0</v>
      </c>
      <c r="L53" s="398"/>
      <c r="M53" s="398"/>
      <c r="N53" s="30"/>
    </row>
    <row r="54" spans="2:14" ht="12.95" hidden="1" customHeight="1" outlineLevel="1" thickBot="1" x14ac:dyDescent="0.3">
      <c r="B54" s="391"/>
      <c r="C54" s="391"/>
      <c r="D54" s="391"/>
      <c r="E54" s="392" t="s">
        <v>139</v>
      </c>
      <c r="F54" s="392"/>
      <c r="G54" s="392"/>
      <c r="H54" s="393">
        <f>IFERROR(SUMIFS('Weekly Timesheet'!$M$14:$M$28,'Weekly Timesheet'!$C$14:$C$28,"General"),0)</f>
        <v>21</v>
      </c>
      <c r="I54" s="393"/>
      <c r="J54" s="393"/>
      <c r="K54" s="394">
        <f>IFERROR(SUMIFS('Weekly Timesheet'!$M$14:$M$28,'Weekly Timesheet'!$C$14:$C$28,"General")/(IFERROR(SUMIF('Weekly Timesheet'!$B$14:$B$28,"Office &amp; Sales",'Weekly Timesheet'!$M$14:$M$28),1)),0)</f>
        <v>1</v>
      </c>
      <c r="L54" s="394"/>
      <c r="M54" s="394"/>
      <c r="N54" s="29"/>
    </row>
    <row r="55" spans="2:14" ht="2.1" customHeight="1" collapsed="1" x14ac:dyDescent="0.25"/>
    <row r="56" spans="2:14" ht="14.1" customHeight="1" x14ac:dyDescent="0.25">
      <c r="B56" s="400" t="s">
        <v>140</v>
      </c>
      <c r="C56" s="401"/>
      <c r="D56" s="401"/>
      <c r="E56" s="401"/>
      <c r="F56" s="401"/>
      <c r="G56" s="401"/>
      <c r="H56" s="401"/>
      <c r="I56" s="401"/>
      <c r="J56" s="401"/>
      <c r="K56" s="401"/>
      <c r="L56" s="401"/>
      <c r="M56" s="401"/>
      <c r="N56" s="401"/>
    </row>
    <row r="57" spans="2:14" ht="2.1" customHeight="1" thickBot="1" x14ac:dyDescent="0.3"/>
    <row r="58" spans="2:14" ht="12.95" customHeight="1" thickBot="1" x14ac:dyDescent="0.3">
      <c r="B58" s="402" t="s">
        <v>141</v>
      </c>
      <c r="C58" s="402"/>
      <c r="D58" s="402"/>
      <c r="E58" s="402" t="s">
        <v>68</v>
      </c>
      <c r="F58" s="402"/>
      <c r="G58" s="402"/>
      <c r="H58" s="31" t="s">
        <v>70</v>
      </c>
      <c r="I58" s="31" t="s">
        <v>71</v>
      </c>
      <c r="J58" s="31" t="s">
        <v>72</v>
      </c>
      <c r="K58" s="31" t="s">
        <v>73</v>
      </c>
      <c r="L58" s="31" t="s">
        <v>74</v>
      </c>
      <c r="M58" s="31" t="s">
        <v>75</v>
      </c>
      <c r="N58" s="31" t="s">
        <v>142</v>
      </c>
    </row>
    <row r="59" spans="2:14" ht="11.1" customHeight="1" thickBot="1" x14ac:dyDescent="0.3">
      <c r="B59" s="405" cm="1">
        <f t="array" ref="B59">IFERROR(INDEX(_xlfn._xlws.SORT(_xlfn.UNIQUE(_xlfn._xlws.FILTER('Weekly Timesheet'!$D$14:$D$28,'Weekly Timesheet'!$B$14:$B$28="Project"))),1),"")</f>
        <v>2026125</v>
      </c>
      <c r="C59" s="405"/>
      <c r="D59" s="405"/>
      <c r="E59" s="404" t="str" cm="1">
        <f t="array" ref="E59">IFERROR(IF(B59="","",INDEX('Weekly Timesheet'!$C$14:$C$28,MATCH(1,('Weekly Timesheet'!$B$14:$B$28="Project")*('Weekly Timesheet'!$D$14:$D$28=B59),0))),"")</f>
        <v>Site Travel</v>
      </c>
      <c r="F59" s="404"/>
      <c r="G59" s="404"/>
      <c r="H59" s="69">
        <f>IFERROR(IF(B59="","",SUMIFS('Weekly Timesheet'!$E$14:$E$28,'Weekly Timesheet'!$B$14:$B$28,"Project",'Weekly Timesheet'!$D$14:$D$28,B59)),"")</f>
        <v>8</v>
      </c>
      <c r="I59" s="69">
        <f>IFERROR(IF(B59="","",SUMIFS('Weekly Timesheet'!$F$14:$F$28,'Weekly Timesheet'!$B$14:$B$28,"Project",'Weekly Timesheet'!$D$14:$D$28,B59)),"")</f>
        <v>0</v>
      </c>
      <c r="J59" s="69">
        <f>IFERROR(IF(B59="","",SUMIFS('Weekly Timesheet'!$G$14:$G$28,'Weekly Timesheet'!$B$14:$B$28,"Project",'Weekly Timesheet'!$D$14:$D$28,B59)),"")</f>
        <v>0</v>
      </c>
      <c r="K59" s="69">
        <f>IFERROR(IF(B59="","",SUMIFS('Weekly Timesheet'!$H$14:$H$28,'Weekly Timesheet'!$B$14:$B$28,"Project",'Weekly Timesheet'!$D$14:$D$28,B59)),"")</f>
        <v>2</v>
      </c>
      <c r="L59" s="69">
        <f>IFERROR(IF(B59="","",SUMIFS('Weekly Timesheet'!$I$14:$I$28,'Weekly Timesheet'!$B$14:$B$28,"Project",'Weekly Timesheet'!$D$14:$D$28,B59)),"")</f>
        <v>0</v>
      </c>
      <c r="M59" s="69">
        <f>IFERROR(IF(B59="","",SUMIFS('Weekly Timesheet'!$J$14:$J$28,'Weekly Timesheet'!$B$14:$B$28,"Project",'Weekly Timesheet'!$D$14:$D$28,B59)),"")</f>
        <v>0</v>
      </c>
      <c r="N59" s="70">
        <f>IFERROR(IF(B59="","",SUMIFS('Weekly Timesheet'!$M$14:$M$28,'Weekly Timesheet'!$B$14:$B$28,"Project",'Weekly Timesheet'!$D$14:$D$28,B59)),"")</f>
        <v>10</v>
      </c>
    </row>
    <row r="60" spans="2:14" ht="11.1" customHeight="1" thickBot="1" x14ac:dyDescent="0.3">
      <c r="B60" s="403" t="str" cm="1">
        <f t="array" ref="B60">IFERROR(INDEX(_xlfn._xlws.SORT(_xlfn.UNIQUE(_xlfn._xlws.FILTER('Weekly Timesheet'!$D$14:$D$28,'Weekly Timesheet'!$B$14:$B$28="Project"))),2),"")</f>
        <v/>
      </c>
      <c r="C60" s="403"/>
      <c r="D60" s="403"/>
      <c r="E60" s="404" t="str" cm="1">
        <f t="array" ref="E60">IFERROR(IF(B60="","",INDEX('Weekly Timesheet'!$C$14:$C$28,MATCH(1,('Weekly Timesheet'!$B$14:$B$28="Project")*('Weekly Timesheet'!$D$14:$D$28=B60),0))),"")</f>
        <v/>
      </c>
      <c r="F60" s="404"/>
      <c r="G60" s="404"/>
      <c r="H60" s="71" t="str">
        <f>IFERROR(IF(B60="","",SUMIFS('Weekly Timesheet'!$E$14:$E$28,'Weekly Timesheet'!$B$14:$B$28,"Project",'Weekly Timesheet'!$D$14:$D$28,B60)),"")</f>
        <v/>
      </c>
      <c r="I60" s="71" t="str">
        <f>IFERROR(IF(B60="","",SUMIFS('Weekly Timesheet'!$F$14:$F$28,'Weekly Timesheet'!$B$14:$B$28,"Project",'Weekly Timesheet'!$D$14:$D$28,B60)),"")</f>
        <v/>
      </c>
      <c r="J60" s="71" t="str">
        <f>IFERROR(IF(B60="","",SUMIFS('Weekly Timesheet'!$G$14:$G$28,'Weekly Timesheet'!$B$14:$B$28,"Project",'Weekly Timesheet'!$D$14:$D$28,B60)),"")</f>
        <v/>
      </c>
      <c r="K60" s="71" t="str">
        <f>IFERROR(IF(B60="","",SUMIFS('Weekly Timesheet'!$H$14:$H$28,'Weekly Timesheet'!$B$14:$B$28,"Project",'Weekly Timesheet'!$D$14:$D$28,B60)),"")</f>
        <v/>
      </c>
      <c r="L60" s="71" t="str">
        <f>IFERROR(IF(B60="","",SUMIFS('Weekly Timesheet'!$I$14:$I$28,'Weekly Timesheet'!$B$14:$B$28,"Project",'Weekly Timesheet'!$D$14:$D$28,B60)),"")</f>
        <v/>
      </c>
      <c r="M60" s="71" t="str">
        <f>IFERROR(IF(B60="","",SUMIFS('Weekly Timesheet'!$J$14:$J$28,'Weekly Timesheet'!$B$14:$B$28,"Project",'Weekly Timesheet'!$D$14:$D$28,B60)),"")</f>
        <v/>
      </c>
      <c r="N60" s="72" t="str">
        <f>IFERROR(IF(B60="","",SUMIFS('Weekly Timesheet'!$M$14:$M$28,'Weekly Timesheet'!$B$14:$B$28,"Project",'Weekly Timesheet'!$D$14:$D$28,B60)),"")</f>
        <v/>
      </c>
    </row>
    <row r="61" spans="2:14" ht="11.1" customHeight="1" thickBot="1" x14ac:dyDescent="0.3">
      <c r="B61" s="405" t="str" cm="1">
        <f t="array" ref="B61">IFERROR(INDEX(_xlfn._xlws.SORT(_xlfn.UNIQUE(_xlfn._xlws.FILTER('Weekly Timesheet'!$D$14:$D$28,'Weekly Timesheet'!$B$14:$B$28="Project"))),3),"")</f>
        <v/>
      </c>
      <c r="C61" s="405"/>
      <c r="D61" s="405"/>
      <c r="E61" s="404" t="str" cm="1">
        <f t="array" ref="E61">IFERROR(IF(B61="","",INDEX('Weekly Timesheet'!$C$14:$C$28,MATCH(1,('Weekly Timesheet'!$B$14:$B$28="Project")*('Weekly Timesheet'!$D$14:$D$28=B61),0))),"")</f>
        <v/>
      </c>
      <c r="F61" s="404"/>
      <c r="G61" s="404"/>
      <c r="H61" s="69" t="str">
        <f>IFERROR(IF(B61="","",SUMIFS('Weekly Timesheet'!$E$14:$E$28,'Weekly Timesheet'!$B$14:$B$28,"Project",'Weekly Timesheet'!$D$14:$D$28,B61)),"")</f>
        <v/>
      </c>
      <c r="I61" s="69" t="str">
        <f>IFERROR(IF(B61="","",SUMIFS('Weekly Timesheet'!$F$14:$F$28,'Weekly Timesheet'!$B$14:$B$28,"Project",'Weekly Timesheet'!$D$14:$D$28,B61)),"")</f>
        <v/>
      </c>
      <c r="J61" s="69" t="str">
        <f>IFERROR(IF(B61="","",SUMIFS('Weekly Timesheet'!$G$14:$G$28,'Weekly Timesheet'!$B$14:$B$28,"Project",'Weekly Timesheet'!$D$14:$D$28,B61)),"")</f>
        <v/>
      </c>
      <c r="K61" s="69" t="str">
        <f>IFERROR(IF(B61="","",SUMIFS('Weekly Timesheet'!$H$14:$H$28,'Weekly Timesheet'!$B$14:$B$28,"Project",'Weekly Timesheet'!$D$14:$D$28,B61)),"")</f>
        <v/>
      </c>
      <c r="L61" s="69" t="str">
        <f>IFERROR(IF(B61="","",SUMIFS('Weekly Timesheet'!$I$14:$I$28,'Weekly Timesheet'!$B$14:$B$28,"Project",'Weekly Timesheet'!$D$14:$D$28,B61)),"")</f>
        <v/>
      </c>
      <c r="M61" s="69" t="str">
        <f>IFERROR(IF(B61="","",SUMIFS('Weekly Timesheet'!$J$14:$J$28,'Weekly Timesheet'!$B$14:$B$28,"Project",'Weekly Timesheet'!$D$14:$D$28,B61)),"")</f>
        <v/>
      </c>
      <c r="N61" s="70" t="str">
        <f>IFERROR(IF(B61="","",SUMIFS('Weekly Timesheet'!$M$14:$M$28,'Weekly Timesheet'!$B$14:$B$28,"Project",'Weekly Timesheet'!$D$14:$D$28,B61)),"")</f>
        <v/>
      </c>
    </row>
    <row r="62" spans="2:14" ht="11.1" customHeight="1" thickBot="1" x14ac:dyDescent="0.3">
      <c r="B62" s="403" t="str" cm="1">
        <f t="array" ref="B62">IFERROR(INDEX(_xlfn._xlws.SORT(_xlfn.UNIQUE(_xlfn._xlws.FILTER('Weekly Timesheet'!$D$14:$D$28,'Weekly Timesheet'!$B$14:$B$28="Project"))),4),"")</f>
        <v/>
      </c>
      <c r="C62" s="403"/>
      <c r="D62" s="403"/>
      <c r="E62" s="404" t="str" cm="1">
        <f t="array" ref="E62">IFERROR(IF(B62="","",INDEX('Weekly Timesheet'!$C$14:$C$28,MATCH(1,('Weekly Timesheet'!$B$14:$B$28="Project")*('Weekly Timesheet'!$D$14:$D$28=B62),0))),"")</f>
        <v/>
      </c>
      <c r="F62" s="404"/>
      <c r="G62" s="404"/>
      <c r="H62" s="71" t="str">
        <f>IFERROR(IF(B62="","",SUMIFS('Weekly Timesheet'!$E$14:$E$28,'Weekly Timesheet'!$B$14:$B$28,"Project",'Weekly Timesheet'!$D$14:$D$28,B62)),"")</f>
        <v/>
      </c>
      <c r="I62" s="71" t="str">
        <f>IFERROR(IF(B62="","",SUMIFS('Weekly Timesheet'!$F$14:$F$28,'Weekly Timesheet'!$B$14:$B$28,"Project",'Weekly Timesheet'!$D$14:$D$28,B62)),"")</f>
        <v/>
      </c>
      <c r="J62" s="71" t="str">
        <f>IFERROR(IF(B62="","",SUMIFS('Weekly Timesheet'!$G$14:$G$28,'Weekly Timesheet'!$B$14:$B$28,"Project",'Weekly Timesheet'!$D$14:$D$28,B62)),"")</f>
        <v/>
      </c>
      <c r="K62" s="71" t="str">
        <f>IFERROR(IF(B62="","",SUMIFS('Weekly Timesheet'!$H$14:$H$28,'Weekly Timesheet'!$B$14:$B$28,"Project",'Weekly Timesheet'!$D$14:$D$28,B62)),"")</f>
        <v/>
      </c>
      <c r="L62" s="71" t="str">
        <f>IFERROR(IF(B62="","",SUMIFS('Weekly Timesheet'!$I$14:$I$28,'Weekly Timesheet'!$B$14:$B$28,"Project",'Weekly Timesheet'!$D$14:$D$28,B62)),"")</f>
        <v/>
      </c>
      <c r="M62" s="71" t="str">
        <f>IFERROR(IF(B62="","",SUMIFS('Weekly Timesheet'!$J$14:$J$28,'Weekly Timesheet'!$B$14:$B$28,"Project",'Weekly Timesheet'!$D$14:$D$28,B62)),"")</f>
        <v/>
      </c>
      <c r="N62" s="72" t="str">
        <f>IFERROR(IF(B62="","",SUMIFS('Weekly Timesheet'!$M$14:$M$28,'Weekly Timesheet'!$B$14:$B$28,"Project",'Weekly Timesheet'!$D$14:$D$28,B62)),"")</f>
        <v/>
      </c>
    </row>
    <row r="63" spans="2:14" ht="11.1" customHeight="1" thickBot="1" x14ac:dyDescent="0.3">
      <c r="B63" s="405" t="str" cm="1">
        <f t="array" ref="B63">IFERROR(INDEX(_xlfn._xlws.SORT(_xlfn.UNIQUE(_xlfn._xlws.FILTER('Weekly Timesheet'!$D$14:$D$28,'Weekly Timesheet'!$B$14:$B$28="Project"))),5),"")</f>
        <v/>
      </c>
      <c r="C63" s="405"/>
      <c r="D63" s="405"/>
      <c r="E63" s="404" t="str" cm="1">
        <f t="array" ref="E63">IFERROR(IF(B63="","",INDEX('Weekly Timesheet'!$C$14:$C$28,MATCH(1,('Weekly Timesheet'!$B$14:$B$28="Project")*('Weekly Timesheet'!$D$14:$D$28=B63),0))),"")</f>
        <v/>
      </c>
      <c r="F63" s="404"/>
      <c r="G63" s="404"/>
      <c r="H63" s="69" t="str">
        <f>IFERROR(IF(B63="","",SUMIFS('Weekly Timesheet'!$E$14:$E$28,'Weekly Timesheet'!$B$14:$B$28,"Project",'Weekly Timesheet'!$D$14:$D$28,B63)),"")</f>
        <v/>
      </c>
      <c r="I63" s="69" t="str">
        <f>IFERROR(IF(B63="","",SUMIFS('Weekly Timesheet'!$F$14:$F$28,'Weekly Timesheet'!$B$14:$B$28,"Project",'Weekly Timesheet'!$D$14:$D$28,B63)),"")</f>
        <v/>
      </c>
      <c r="J63" s="69" t="str">
        <f>IFERROR(IF(B63="","",SUMIFS('Weekly Timesheet'!$G$14:$G$28,'Weekly Timesheet'!$B$14:$B$28,"Project",'Weekly Timesheet'!$D$14:$D$28,B63)),"")</f>
        <v/>
      </c>
      <c r="K63" s="69" t="str">
        <f>IFERROR(IF(B63="","",SUMIFS('Weekly Timesheet'!$H$14:$H$28,'Weekly Timesheet'!$B$14:$B$28,"Project",'Weekly Timesheet'!$D$14:$D$28,B63)),"")</f>
        <v/>
      </c>
      <c r="L63" s="69" t="str">
        <f>IFERROR(IF(B63="","",SUMIFS('Weekly Timesheet'!$I$14:$I$28,'Weekly Timesheet'!$B$14:$B$28,"Project",'Weekly Timesheet'!$D$14:$D$28,B63)),"")</f>
        <v/>
      </c>
      <c r="M63" s="69" t="str">
        <f>IFERROR(IF(B63="","",SUMIFS('Weekly Timesheet'!$J$14:$J$28,'Weekly Timesheet'!$B$14:$B$28,"Project",'Weekly Timesheet'!$D$14:$D$28,B63)),"")</f>
        <v/>
      </c>
      <c r="N63" s="70" t="str">
        <f>IFERROR(IF(B63="","",SUMIFS('Weekly Timesheet'!$M$14:$M$28,'Weekly Timesheet'!$B$14:$B$28,"Project",'Weekly Timesheet'!$D$14:$D$28,B63)),"")</f>
        <v/>
      </c>
    </row>
    <row r="64" spans="2:14" ht="11.1" customHeight="1" thickBot="1" x14ac:dyDescent="0.3">
      <c r="B64" s="403" t="str" cm="1">
        <f t="array" ref="B64">IFERROR(INDEX(_xlfn._xlws.SORT(_xlfn.UNIQUE(_xlfn._xlws.FILTER('Weekly Timesheet'!$D$14:$D$28,'Weekly Timesheet'!$B$14:$B$28="Project"))),6),"")</f>
        <v/>
      </c>
      <c r="C64" s="403"/>
      <c r="D64" s="403"/>
      <c r="E64" s="404" t="str" cm="1">
        <f t="array" ref="E64">IFERROR(IF(B64="","",INDEX('Weekly Timesheet'!$C$14:$C$28,MATCH(1,('Weekly Timesheet'!$B$14:$B$28="Project")*('Weekly Timesheet'!$D$14:$D$28=B64),0))),"")</f>
        <v/>
      </c>
      <c r="F64" s="404"/>
      <c r="G64" s="404"/>
      <c r="H64" s="71" t="str">
        <f>IFERROR(IF(B64="","",SUMIFS('Weekly Timesheet'!$E$14:$E$28,'Weekly Timesheet'!$B$14:$B$28,"Project",'Weekly Timesheet'!$D$14:$D$28,B64)),"")</f>
        <v/>
      </c>
      <c r="I64" s="71" t="str">
        <f>IFERROR(IF(B64="","",SUMIFS('Weekly Timesheet'!$F$14:$F$28,'Weekly Timesheet'!$B$14:$B$28,"Project",'Weekly Timesheet'!$D$14:$D$28,B64)),"")</f>
        <v/>
      </c>
      <c r="J64" s="71" t="str">
        <f>IFERROR(IF(B64="","",SUMIFS('Weekly Timesheet'!$G$14:$G$28,'Weekly Timesheet'!$B$14:$B$28,"Project",'Weekly Timesheet'!$D$14:$D$28,B64)),"")</f>
        <v/>
      </c>
      <c r="K64" s="71" t="str">
        <f>IFERROR(IF(B64="","",SUMIFS('Weekly Timesheet'!$H$14:$H$28,'Weekly Timesheet'!$B$14:$B$28,"Project",'Weekly Timesheet'!$D$14:$D$28,B64)),"")</f>
        <v/>
      </c>
      <c r="L64" s="71" t="str">
        <f>IFERROR(IF(B64="","",SUMIFS('Weekly Timesheet'!$I$14:$I$28,'Weekly Timesheet'!$B$14:$B$28,"Project",'Weekly Timesheet'!$D$14:$D$28,B64)),"")</f>
        <v/>
      </c>
      <c r="M64" s="71" t="str">
        <f>IFERROR(IF(B64="","",SUMIFS('Weekly Timesheet'!$J$14:$J$28,'Weekly Timesheet'!$B$14:$B$28,"Project",'Weekly Timesheet'!$D$14:$D$28,B64)),"")</f>
        <v/>
      </c>
      <c r="N64" s="72" t="str">
        <f>IFERROR(IF(B64="","",SUMIFS('Weekly Timesheet'!$M$14:$M$28,'Weekly Timesheet'!$B$14:$B$28,"Project",'Weekly Timesheet'!$D$14:$D$28,B64)),"")</f>
        <v/>
      </c>
    </row>
    <row r="65" spans="2:14" ht="11.1" customHeight="1" thickBot="1" x14ac:dyDescent="0.3">
      <c r="B65" s="405" t="str" cm="1">
        <f t="array" ref="B65">IFERROR(INDEX(_xlfn._xlws.SORT(_xlfn.UNIQUE(_xlfn._xlws.FILTER('Weekly Timesheet'!$D$14:$D$28,'Weekly Timesheet'!$B$14:$B$28="Project"))),7),"")</f>
        <v/>
      </c>
      <c r="C65" s="405"/>
      <c r="D65" s="405"/>
      <c r="E65" s="404" t="str" cm="1">
        <f t="array" ref="E65">IFERROR(IF(B65="","",INDEX('Weekly Timesheet'!$C$14:$C$28,MATCH(1,('Weekly Timesheet'!$B$14:$B$28="Project")*('Weekly Timesheet'!$D$14:$D$28=B65),0))),"")</f>
        <v/>
      </c>
      <c r="F65" s="404"/>
      <c r="G65" s="404"/>
      <c r="H65" s="69" t="str">
        <f>IFERROR(IF(B65="","",SUMIFS('Weekly Timesheet'!$E$14:$E$28,'Weekly Timesheet'!$B$14:$B$28,"Project",'Weekly Timesheet'!$D$14:$D$28,B65)),"")</f>
        <v/>
      </c>
      <c r="I65" s="69" t="str">
        <f>IFERROR(IF(B65="","",SUMIFS('Weekly Timesheet'!$F$14:$F$28,'Weekly Timesheet'!$B$14:$B$28,"Project",'Weekly Timesheet'!$D$14:$D$28,B65)),"")</f>
        <v/>
      </c>
      <c r="J65" s="69" t="str">
        <f>IFERROR(IF(B65="","",SUMIFS('Weekly Timesheet'!$G$14:$G$28,'Weekly Timesheet'!$B$14:$B$28,"Project",'Weekly Timesheet'!$D$14:$D$28,B65)),"")</f>
        <v/>
      </c>
      <c r="K65" s="69" t="str">
        <f>IFERROR(IF(B65="","",SUMIFS('Weekly Timesheet'!$H$14:$H$28,'Weekly Timesheet'!$B$14:$B$28,"Project",'Weekly Timesheet'!$D$14:$D$28,B65)),"")</f>
        <v/>
      </c>
      <c r="L65" s="69" t="str">
        <f>IFERROR(IF(B65="","",SUMIFS('Weekly Timesheet'!$I$14:$I$28,'Weekly Timesheet'!$B$14:$B$28,"Project",'Weekly Timesheet'!$D$14:$D$28,B65)),"")</f>
        <v/>
      </c>
      <c r="M65" s="69" t="str">
        <f>IFERROR(IF(B65="","",SUMIFS('Weekly Timesheet'!$J$14:$J$28,'Weekly Timesheet'!$B$14:$B$28,"Project",'Weekly Timesheet'!$D$14:$D$28,B65)),"")</f>
        <v/>
      </c>
      <c r="N65" s="70" t="str">
        <f>IFERROR(IF(B65="","",SUMIFS('Weekly Timesheet'!$M$14:$M$28,'Weekly Timesheet'!$B$14:$B$28,"Project",'Weekly Timesheet'!$D$14:$D$28,B65)),"")</f>
        <v/>
      </c>
    </row>
    <row r="66" spans="2:14" ht="11.1" customHeight="1" thickBot="1" x14ac:dyDescent="0.3">
      <c r="B66" s="403" t="str" cm="1">
        <f t="array" ref="B66">IFERROR(INDEX(_xlfn._xlws.SORT(_xlfn.UNIQUE(_xlfn._xlws.FILTER('Weekly Timesheet'!$D$14:$D$28,'Weekly Timesheet'!$B$14:$B$28="Project"))),8),"")</f>
        <v/>
      </c>
      <c r="C66" s="403"/>
      <c r="D66" s="403"/>
      <c r="E66" s="404" t="str" cm="1">
        <f t="array" ref="E66">IFERROR(IF(B66="","",INDEX('Weekly Timesheet'!$C$14:$C$28,MATCH(1,('Weekly Timesheet'!$B$14:$B$28="Project")*('Weekly Timesheet'!$D$14:$D$28=B66),0))),"")</f>
        <v/>
      </c>
      <c r="F66" s="404"/>
      <c r="G66" s="404"/>
      <c r="H66" s="71" t="str">
        <f>IFERROR(IF(B66="","",SUMIFS('Weekly Timesheet'!$E$14:$E$28,'Weekly Timesheet'!$B$14:$B$28,"Project",'Weekly Timesheet'!$D$14:$D$28,B66)),"")</f>
        <v/>
      </c>
      <c r="I66" s="71" t="str">
        <f>IFERROR(IF(B66="","",SUMIFS('Weekly Timesheet'!$F$14:$F$28,'Weekly Timesheet'!$B$14:$B$28,"Project",'Weekly Timesheet'!$D$14:$D$28,B66)),"")</f>
        <v/>
      </c>
      <c r="J66" s="71" t="str">
        <f>IFERROR(IF(B66="","",SUMIFS('Weekly Timesheet'!$G$14:$G$28,'Weekly Timesheet'!$B$14:$B$28,"Project",'Weekly Timesheet'!$D$14:$D$28,B66)),"")</f>
        <v/>
      </c>
      <c r="K66" s="71" t="str">
        <f>IFERROR(IF(B66="","",SUMIFS('Weekly Timesheet'!$H$14:$H$28,'Weekly Timesheet'!$B$14:$B$28,"Project",'Weekly Timesheet'!$D$14:$D$28,B66)),"")</f>
        <v/>
      </c>
      <c r="L66" s="71" t="str">
        <f>IFERROR(IF(B66="","",SUMIFS('Weekly Timesheet'!$I$14:$I$28,'Weekly Timesheet'!$B$14:$B$28,"Project",'Weekly Timesheet'!$D$14:$D$28,B66)),"")</f>
        <v/>
      </c>
      <c r="M66" s="71" t="str">
        <f>IFERROR(IF(B66="","",SUMIFS('Weekly Timesheet'!$J$14:$J$28,'Weekly Timesheet'!$B$14:$B$28,"Project",'Weekly Timesheet'!$D$14:$D$28,B66)),"")</f>
        <v/>
      </c>
      <c r="N66" s="72" t="str">
        <f>IFERROR(IF(B66="","",SUMIFS('Weekly Timesheet'!$M$14:$M$28,'Weekly Timesheet'!$B$14:$B$28,"Project",'Weekly Timesheet'!$D$14:$D$28,B66)),"")</f>
        <v/>
      </c>
    </row>
    <row r="67" spans="2:14" ht="11.1" customHeight="1" thickBot="1" x14ac:dyDescent="0.3">
      <c r="B67" s="405" t="str" cm="1">
        <f t="array" ref="B67">IFERROR(INDEX(_xlfn._xlws.SORT(_xlfn.UNIQUE(_xlfn._xlws.FILTER('Weekly Timesheet'!$D$14:$D$28,'Weekly Timesheet'!$B$14:$B$28="Project"))),9),"")</f>
        <v/>
      </c>
      <c r="C67" s="405"/>
      <c r="D67" s="405"/>
      <c r="E67" s="404" t="str" cm="1">
        <f t="array" ref="E67">IFERROR(IF(B67="","",INDEX('Weekly Timesheet'!$C$14:$C$28,MATCH(1,('Weekly Timesheet'!$B$14:$B$28="Project")*('Weekly Timesheet'!$D$14:$D$28=B67),0))),"")</f>
        <v/>
      </c>
      <c r="F67" s="404"/>
      <c r="G67" s="404"/>
      <c r="H67" s="69" t="str">
        <f>IFERROR(IF(B67="","",SUMIFS('Weekly Timesheet'!$E$14:$E$28,'Weekly Timesheet'!$B$14:$B$28,"Project",'Weekly Timesheet'!$D$14:$D$28,B67)),"")</f>
        <v/>
      </c>
      <c r="I67" s="69" t="str">
        <f>IFERROR(IF(B67="","",SUMIFS('Weekly Timesheet'!$F$14:$F$28,'Weekly Timesheet'!$B$14:$B$28,"Project",'Weekly Timesheet'!$D$14:$D$28,B67)),"")</f>
        <v/>
      </c>
      <c r="J67" s="69" t="str">
        <f>IFERROR(IF(B67="","",SUMIFS('Weekly Timesheet'!$G$14:$G$28,'Weekly Timesheet'!$B$14:$B$28,"Project",'Weekly Timesheet'!$D$14:$D$28,B67)),"")</f>
        <v/>
      </c>
      <c r="K67" s="69" t="str">
        <f>IFERROR(IF(B67="","",SUMIFS('Weekly Timesheet'!$H$14:$H$28,'Weekly Timesheet'!$B$14:$B$28,"Project",'Weekly Timesheet'!$D$14:$D$28,B67)),"")</f>
        <v/>
      </c>
      <c r="L67" s="69" t="str">
        <f>IFERROR(IF(B67="","",SUMIFS('Weekly Timesheet'!$I$14:$I$28,'Weekly Timesheet'!$B$14:$B$28,"Project",'Weekly Timesheet'!$D$14:$D$28,B67)),"")</f>
        <v/>
      </c>
      <c r="M67" s="69" t="str">
        <f>IFERROR(IF(B67="","",SUMIFS('Weekly Timesheet'!$J$14:$J$28,'Weekly Timesheet'!$B$14:$B$28,"Project",'Weekly Timesheet'!$D$14:$D$28,B67)),"")</f>
        <v/>
      </c>
      <c r="N67" s="70" t="str">
        <f>IFERROR(IF(B67="","",SUMIFS('Weekly Timesheet'!$M$14:$M$28,'Weekly Timesheet'!$B$14:$B$28,"Project",'Weekly Timesheet'!$D$14:$D$28,B67)),"")</f>
        <v/>
      </c>
    </row>
    <row r="68" spans="2:14" ht="11.1" customHeight="1" thickBot="1" x14ac:dyDescent="0.3">
      <c r="B68" s="403" t="str" cm="1">
        <f t="array" ref="B68">IFERROR(INDEX(_xlfn._xlws.SORT(_xlfn.UNIQUE(_xlfn._xlws.FILTER('Weekly Timesheet'!$D$14:$D$28,'Weekly Timesheet'!$B$14:$B$28="Project"))),10),"")</f>
        <v/>
      </c>
      <c r="C68" s="403"/>
      <c r="D68" s="403"/>
      <c r="E68" s="404" t="str" cm="1">
        <f t="array" ref="E68">IFERROR(IF(B68="","",INDEX('Weekly Timesheet'!$C$14:$C$28,MATCH(1,('Weekly Timesheet'!$B$14:$B$28="Project")*('Weekly Timesheet'!$D$14:$D$28=B68),0))),"")</f>
        <v/>
      </c>
      <c r="F68" s="404"/>
      <c r="G68" s="404"/>
      <c r="H68" s="71" t="str">
        <f>IFERROR(IF(B68="","",SUMIFS('Weekly Timesheet'!$E$14:$E$28,'Weekly Timesheet'!$B$14:$B$28,"Project",'Weekly Timesheet'!$D$14:$D$28,B68)),"")</f>
        <v/>
      </c>
      <c r="I68" s="71" t="str">
        <f>IFERROR(IF(B68="","",SUMIFS('Weekly Timesheet'!$F$14:$F$28,'Weekly Timesheet'!$B$14:$B$28,"Project",'Weekly Timesheet'!$D$14:$D$28,B68)),"")</f>
        <v/>
      </c>
      <c r="J68" s="71" t="str">
        <f>IFERROR(IF(B68="","",SUMIFS('Weekly Timesheet'!$G$14:$G$28,'Weekly Timesheet'!$B$14:$B$28,"Project",'Weekly Timesheet'!$D$14:$D$28,B68)),"")</f>
        <v/>
      </c>
      <c r="K68" s="71" t="str">
        <f>IFERROR(IF(B68="","",SUMIFS('Weekly Timesheet'!$H$14:$H$28,'Weekly Timesheet'!$B$14:$B$28,"Project",'Weekly Timesheet'!$D$14:$D$28,B68)),"")</f>
        <v/>
      </c>
      <c r="L68" s="71" t="str">
        <f>IFERROR(IF(B68="","",SUMIFS('Weekly Timesheet'!$I$14:$I$28,'Weekly Timesheet'!$B$14:$B$28,"Project",'Weekly Timesheet'!$D$14:$D$28,B68)),"")</f>
        <v/>
      </c>
      <c r="M68" s="71" t="str">
        <f>IFERROR(IF(B68="","",SUMIFS('Weekly Timesheet'!$J$14:$J$28,'Weekly Timesheet'!$B$14:$B$28,"Project",'Weekly Timesheet'!$D$14:$D$28,B68)),"")</f>
        <v/>
      </c>
      <c r="N68" s="72" t="str">
        <f>IFERROR(IF(B68="","",SUMIFS('Weekly Timesheet'!$M$14:$M$28,'Weekly Timesheet'!$B$14:$B$28,"Project",'Weekly Timesheet'!$D$14:$D$28,B68)),"")</f>
        <v/>
      </c>
    </row>
    <row r="69" spans="2:14" ht="11.1" customHeight="1" thickBot="1" x14ac:dyDescent="0.3">
      <c r="B69" s="405" t="str" cm="1">
        <f t="array" ref="B69">IFERROR(INDEX(_xlfn._xlws.SORT(_xlfn.UNIQUE(_xlfn._xlws.FILTER('Weekly Timesheet'!$D$14:$D$28,'Weekly Timesheet'!$B$14:$B$28="Project"))),11),"")</f>
        <v/>
      </c>
      <c r="C69" s="405"/>
      <c r="D69" s="405"/>
      <c r="E69" s="404" t="str" cm="1">
        <f t="array" ref="E69">IFERROR(IF(B69="","",INDEX('Weekly Timesheet'!$C$14:$C$28,MATCH(1,('Weekly Timesheet'!$B$14:$B$28="Project")*('Weekly Timesheet'!$D$14:$D$28=B69),0))),"")</f>
        <v/>
      </c>
      <c r="F69" s="404"/>
      <c r="G69" s="404"/>
      <c r="H69" s="69" t="str">
        <f>IFERROR(IF(B69="","",SUMIFS('Weekly Timesheet'!$E$14:$E$28,'Weekly Timesheet'!$B$14:$B$28,"Project",'Weekly Timesheet'!$D$14:$D$28,B69)),"")</f>
        <v/>
      </c>
      <c r="I69" s="69" t="str">
        <f>IFERROR(IF(B69="","",SUMIFS('Weekly Timesheet'!$F$14:$F$28,'Weekly Timesheet'!$B$14:$B$28,"Project",'Weekly Timesheet'!$D$14:$D$28,B69)),"")</f>
        <v/>
      </c>
      <c r="J69" s="69" t="str">
        <f>IFERROR(IF(B69="","",SUMIFS('Weekly Timesheet'!$G$14:$G$28,'Weekly Timesheet'!$B$14:$B$28,"Project",'Weekly Timesheet'!$D$14:$D$28,B69)),"")</f>
        <v/>
      </c>
      <c r="K69" s="69" t="str">
        <f>IFERROR(IF(B69="","",SUMIFS('Weekly Timesheet'!$H$14:$H$28,'Weekly Timesheet'!$B$14:$B$28,"Project",'Weekly Timesheet'!$D$14:$D$28,B69)),"")</f>
        <v/>
      </c>
      <c r="L69" s="69" t="str">
        <f>IFERROR(IF(B69="","",SUMIFS('Weekly Timesheet'!$I$14:$I$28,'Weekly Timesheet'!$B$14:$B$28,"Project",'Weekly Timesheet'!$D$14:$D$28,B69)),"")</f>
        <v/>
      </c>
      <c r="M69" s="69" t="str">
        <f>IFERROR(IF(B69="","",SUMIFS('Weekly Timesheet'!$J$14:$J$28,'Weekly Timesheet'!$B$14:$B$28,"Project",'Weekly Timesheet'!$D$14:$D$28,B69)),"")</f>
        <v/>
      </c>
      <c r="N69" s="70" t="str">
        <f>IFERROR(IF(B69="","",SUMIFS('Weekly Timesheet'!$M$14:$M$28,'Weekly Timesheet'!$B$14:$B$28,"Project",'Weekly Timesheet'!$D$14:$D$28,B69)),"")</f>
        <v/>
      </c>
    </row>
    <row r="70" spans="2:14" ht="11.1" customHeight="1" thickBot="1" x14ac:dyDescent="0.3">
      <c r="B70" s="403" t="str" cm="1">
        <f t="array" ref="B70">IFERROR(INDEX(_xlfn._xlws.SORT(_xlfn.UNIQUE(_xlfn._xlws.FILTER('Weekly Timesheet'!$D$14:$D$28,'Weekly Timesheet'!$B$14:$B$28="Project"))),12),"")</f>
        <v/>
      </c>
      <c r="C70" s="403"/>
      <c r="D70" s="403"/>
      <c r="E70" s="404" t="str" cm="1">
        <f t="array" ref="E70">IFERROR(IF(B70="","",INDEX('Weekly Timesheet'!$C$14:$C$28,MATCH(1,('Weekly Timesheet'!$B$14:$B$28="Project")*('Weekly Timesheet'!$D$14:$D$28=B70),0))),"")</f>
        <v/>
      </c>
      <c r="F70" s="404"/>
      <c r="G70" s="404"/>
      <c r="H70" s="71" t="str">
        <f>IFERROR(IF(B70="","",SUMIFS('Weekly Timesheet'!$E$14:$E$28,'Weekly Timesheet'!$B$14:$B$28,"Project",'Weekly Timesheet'!$D$14:$D$28,B70)),"")</f>
        <v/>
      </c>
      <c r="I70" s="71" t="str">
        <f>IFERROR(IF(B70="","",SUMIFS('Weekly Timesheet'!$F$14:$F$28,'Weekly Timesheet'!$B$14:$B$28,"Project",'Weekly Timesheet'!$D$14:$D$28,B70)),"")</f>
        <v/>
      </c>
      <c r="J70" s="71" t="str">
        <f>IFERROR(IF(B70="","",SUMIFS('Weekly Timesheet'!$G$14:$G$28,'Weekly Timesheet'!$B$14:$B$28,"Project",'Weekly Timesheet'!$D$14:$D$28,B70)),"")</f>
        <v/>
      </c>
      <c r="K70" s="71" t="str">
        <f>IFERROR(IF(B70="","",SUMIFS('Weekly Timesheet'!$H$14:$H$28,'Weekly Timesheet'!$B$14:$B$28,"Project",'Weekly Timesheet'!$D$14:$D$28,B70)),"")</f>
        <v/>
      </c>
      <c r="L70" s="71" t="str">
        <f>IFERROR(IF(B70="","",SUMIFS('Weekly Timesheet'!$I$14:$I$28,'Weekly Timesheet'!$B$14:$B$28,"Project",'Weekly Timesheet'!$D$14:$D$28,B70)),"")</f>
        <v/>
      </c>
      <c r="M70" s="71" t="str">
        <f>IFERROR(IF(B70="","",SUMIFS('Weekly Timesheet'!$J$14:$J$28,'Weekly Timesheet'!$B$14:$B$28,"Project",'Weekly Timesheet'!$D$14:$D$28,B70)),"")</f>
        <v/>
      </c>
      <c r="N70" s="72" t="str">
        <f>IFERROR(IF(B70="","",SUMIFS('Weekly Timesheet'!$M$14:$M$28,'Weekly Timesheet'!$B$14:$B$28,"Project",'Weekly Timesheet'!$D$14:$D$28,B70)),"")</f>
        <v/>
      </c>
    </row>
    <row r="71" spans="2:14" ht="11.1" customHeight="1" thickBot="1" x14ac:dyDescent="0.3">
      <c r="B71" s="405" t="str" cm="1">
        <f t="array" ref="B71">IFERROR(INDEX(_xlfn._xlws.SORT(_xlfn.UNIQUE(_xlfn._xlws.FILTER('Weekly Timesheet'!$D$14:$D$28,'Weekly Timesheet'!$B$14:$B$28="Project"))),13),"")</f>
        <v/>
      </c>
      <c r="C71" s="405"/>
      <c r="D71" s="405"/>
      <c r="E71" s="404" t="str" cm="1">
        <f t="array" ref="E71">IFERROR(IF(B71="","",INDEX('Weekly Timesheet'!$C$14:$C$28,MATCH(1,('Weekly Timesheet'!$B$14:$B$28="Project")*('Weekly Timesheet'!$D$14:$D$28=B71),0))),"")</f>
        <v/>
      </c>
      <c r="F71" s="404"/>
      <c r="G71" s="404"/>
      <c r="H71" s="69" t="str">
        <f>IFERROR(IF(B71="","",SUMIFS('Weekly Timesheet'!$E$14:$E$28,'Weekly Timesheet'!$B$14:$B$28,"Project",'Weekly Timesheet'!$D$14:$D$28,B71)),"")</f>
        <v/>
      </c>
      <c r="I71" s="69" t="str">
        <f>IFERROR(IF(B71="","",SUMIFS('Weekly Timesheet'!$F$14:$F$28,'Weekly Timesheet'!$B$14:$B$28,"Project",'Weekly Timesheet'!$D$14:$D$28,B71)),"")</f>
        <v/>
      </c>
      <c r="J71" s="69" t="str">
        <f>IFERROR(IF(B71="","",SUMIFS('Weekly Timesheet'!$G$14:$G$28,'Weekly Timesheet'!$B$14:$B$28,"Project",'Weekly Timesheet'!$D$14:$D$28,B71)),"")</f>
        <v/>
      </c>
      <c r="K71" s="69" t="str">
        <f>IFERROR(IF(B71="","",SUMIFS('Weekly Timesheet'!$H$14:$H$28,'Weekly Timesheet'!$B$14:$B$28,"Project",'Weekly Timesheet'!$D$14:$D$28,B71)),"")</f>
        <v/>
      </c>
      <c r="L71" s="69" t="str">
        <f>IFERROR(IF(B71="","",SUMIFS('Weekly Timesheet'!$I$14:$I$28,'Weekly Timesheet'!$B$14:$B$28,"Project",'Weekly Timesheet'!$D$14:$D$28,B71)),"")</f>
        <v/>
      </c>
      <c r="M71" s="69" t="str">
        <f>IFERROR(IF(B71="","",SUMIFS('Weekly Timesheet'!$J$14:$J$28,'Weekly Timesheet'!$B$14:$B$28,"Project",'Weekly Timesheet'!$D$14:$D$28,B71)),"")</f>
        <v/>
      </c>
      <c r="N71" s="70" t="str">
        <f>IFERROR(IF(B71="","",SUMIFS('Weekly Timesheet'!$M$14:$M$28,'Weekly Timesheet'!$B$14:$B$28,"Project",'Weekly Timesheet'!$D$14:$D$28,B71)),"")</f>
        <v/>
      </c>
    </row>
    <row r="72" spans="2:14" ht="11.1" customHeight="1" thickBot="1" x14ac:dyDescent="0.3">
      <c r="B72" s="403" t="str" cm="1">
        <f t="array" ref="B72">IFERROR(INDEX(_xlfn._xlws.SORT(_xlfn.UNIQUE(_xlfn._xlws.FILTER('Weekly Timesheet'!$D$14:$D$28,'Weekly Timesheet'!$B$14:$B$28="Project"))),14),"")</f>
        <v/>
      </c>
      <c r="C72" s="403"/>
      <c r="D72" s="403"/>
      <c r="E72" s="404" t="str" cm="1">
        <f t="array" ref="E72">IFERROR(IF(B72="","",INDEX('Weekly Timesheet'!$C$14:$C$28,MATCH(1,('Weekly Timesheet'!$B$14:$B$28="Project")*('Weekly Timesheet'!$D$14:$D$28=B72),0))),"")</f>
        <v/>
      </c>
      <c r="F72" s="404"/>
      <c r="G72" s="404"/>
      <c r="H72" s="71" t="str">
        <f>IFERROR(IF(B72="","",SUMIFS('Weekly Timesheet'!$E$14:$E$28,'Weekly Timesheet'!$B$14:$B$28,"Project",'Weekly Timesheet'!$D$14:$D$28,B72)),"")</f>
        <v/>
      </c>
      <c r="I72" s="71" t="str">
        <f>IFERROR(IF(B72="","",SUMIFS('Weekly Timesheet'!$F$14:$F$28,'Weekly Timesheet'!$B$14:$B$28,"Project",'Weekly Timesheet'!$D$14:$D$28,B72)),"")</f>
        <v/>
      </c>
      <c r="J72" s="71" t="str">
        <f>IFERROR(IF(B72="","",SUMIFS('Weekly Timesheet'!$G$14:$G$28,'Weekly Timesheet'!$B$14:$B$28,"Project",'Weekly Timesheet'!$D$14:$D$28,B72)),"")</f>
        <v/>
      </c>
      <c r="K72" s="71" t="str">
        <f>IFERROR(IF(B72="","",SUMIFS('Weekly Timesheet'!$H$14:$H$28,'Weekly Timesheet'!$B$14:$B$28,"Project",'Weekly Timesheet'!$D$14:$D$28,B72)),"")</f>
        <v/>
      </c>
      <c r="L72" s="71" t="str">
        <f>IFERROR(IF(B72="","",SUMIFS('Weekly Timesheet'!$I$14:$I$28,'Weekly Timesheet'!$B$14:$B$28,"Project",'Weekly Timesheet'!$D$14:$D$28,B72)),"")</f>
        <v/>
      </c>
      <c r="M72" s="71" t="str">
        <f>IFERROR(IF(B72="","",SUMIFS('Weekly Timesheet'!$J$14:$J$28,'Weekly Timesheet'!$B$14:$B$28,"Project",'Weekly Timesheet'!$D$14:$D$28,B72)),"")</f>
        <v/>
      </c>
      <c r="N72" s="72" t="str">
        <f>IFERROR(IF(B72="","",SUMIFS('Weekly Timesheet'!$M$14:$M$28,'Weekly Timesheet'!$B$14:$B$28,"Project",'Weekly Timesheet'!$D$14:$D$28,B72)),"")</f>
        <v/>
      </c>
    </row>
    <row r="73" spans="2:14" ht="11.1" customHeight="1" thickBot="1" x14ac:dyDescent="0.3">
      <c r="B73" s="405" t="str" cm="1">
        <f t="array" ref="B73">IFERROR(INDEX(_xlfn._xlws.SORT(_xlfn.UNIQUE(_xlfn._xlws.FILTER('Weekly Timesheet'!$D$14:$D$28,'Weekly Timesheet'!$B$14:$B$28="Project"))),15),"")</f>
        <v/>
      </c>
      <c r="C73" s="405"/>
      <c r="D73" s="405"/>
      <c r="E73" s="404" t="str" cm="1">
        <f t="array" ref="E73">IFERROR(IF(B73="","",INDEX('Weekly Timesheet'!$C$14:$C$28,MATCH(1,('Weekly Timesheet'!$B$14:$B$28="Project")*('Weekly Timesheet'!$D$14:$D$28=B73),0))),"")</f>
        <v/>
      </c>
      <c r="F73" s="404"/>
      <c r="G73" s="404"/>
      <c r="H73" s="69" t="str">
        <f>IFERROR(IF(B73="","",SUMIFS('Weekly Timesheet'!$E$14:$E$28,'Weekly Timesheet'!$B$14:$B$28,"Project",'Weekly Timesheet'!$D$14:$D$28,B73)),"")</f>
        <v/>
      </c>
      <c r="I73" s="69" t="str">
        <f>IFERROR(IF(B73="","",SUMIFS('Weekly Timesheet'!$F$14:$F$28,'Weekly Timesheet'!$B$14:$B$28,"Project",'Weekly Timesheet'!$D$14:$D$28,B73)),"")</f>
        <v/>
      </c>
      <c r="J73" s="69" t="str">
        <f>IFERROR(IF(B73="","",SUMIFS('Weekly Timesheet'!$G$14:$G$28,'Weekly Timesheet'!$B$14:$B$28,"Project",'Weekly Timesheet'!$D$14:$D$28,B73)),"")</f>
        <v/>
      </c>
      <c r="K73" s="69" t="str">
        <f>IFERROR(IF(B73="","",SUMIFS('Weekly Timesheet'!$H$14:$H$28,'Weekly Timesheet'!$B$14:$B$28,"Project",'Weekly Timesheet'!$D$14:$D$28,B73)),"")</f>
        <v/>
      </c>
      <c r="L73" s="69" t="str">
        <f>IFERROR(IF(B73="","",SUMIFS('Weekly Timesheet'!$I$14:$I$28,'Weekly Timesheet'!$B$14:$B$28,"Project",'Weekly Timesheet'!$D$14:$D$28,B73)),"")</f>
        <v/>
      </c>
      <c r="M73" s="69" t="str">
        <f>IFERROR(IF(B73="","",SUMIFS('Weekly Timesheet'!$J$14:$J$28,'Weekly Timesheet'!$B$14:$B$28,"Project",'Weekly Timesheet'!$D$14:$D$28,B73)),"")</f>
        <v/>
      </c>
      <c r="N73" s="70" t="str">
        <f>IFERROR(IF(B73="","",SUMIFS('Weekly Timesheet'!$M$14:$M$28,'Weekly Timesheet'!$B$14:$B$28,"Project",'Weekly Timesheet'!$D$14:$D$28,B73)),"")</f>
        <v/>
      </c>
    </row>
    <row r="74" spans="2:14" ht="12.95" customHeight="1" collapsed="1" thickBot="1" x14ac:dyDescent="0.3">
      <c r="B74" s="406" t="s">
        <v>143</v>
      </c>
      <c r="C74" s="406"/>
      <c r="D74" s="406"/>
      <c r="E74" s="406"/>
      <c r="F74" s="406"/>
      <c r="G74" s="406"/>
      <c r="H74" s="68">
        <f>IFERROR(SUMIF('Weekly Timesheet'!$B$14:$B$28,"Project",'Weekly Timesheet'!$E$14:$E$28),0)</f>
        <v>8</v>
      </c>
      <c r="I74" s="68">
        <f>IFERROR(SUMIF('Weekly Timesheet'!$B$14:$B$28,"Project",'Weekly Timesheet'!$F$14:$F$28),0)</f>
        <v>0</v>
      </c>
      <c r="J74" s="68">
        <f>IFERROR(SUMIF('Weekly Timesheet'!$B$14:$B$28,"Project",'Weekly Timesheet'!$G$14:$G$28),0)</f>
        <v>0</v>
      </c>
      <c r="K74" s="68">
        <f>IFERROR(SUMIF('Weekly Timesheet'!$B$14:$B$28,"Project",'Weekly Timesheet'!$H$14:$H$28),0)</f>
        <v>2</v>
      </c>
      <c r="L74" s="68">
        <f>IFERROR(SUMIF('Weekly Timesheet'!$B$14:$B$28,"Project",'Weekly Timesheet'!$I$14:$I$28),0)</f>
        <v>0</v>
      </c>
      <c r="M74" s="68">
        <f>IFERROR(SUMIF('Weekly Timesheet'!$B$14:$B$28,"Project",'Weekly Timesheet'!$J$14:$J$28),0)</f>
        <v>0</v>
      </c>
      <c r="N74" s="68">
        <f>IFERROR(SUMIF('Weekly Timesheet'!$B$14:$B$28,"Project",'Weekly Timesheet'!$M$14:$M$28),0)</f>
        <v>10</v>
      </c>
    </row>
    <row r="75" spans="2:14" ht="2.1" customHeight="1" x14ac:dyDescent="0.25"/>
    <row r="76" spans="2:14" ht="14.1" customHeight="1" x14ac:dyDescent="0.25">
      <c r="B76" s="341" t="s">
        <v>144</v>
      </c>
      <c r="C76" s="342"/>
      <c r="D76" s="342"/>
      <c r="E76" s="342"/>
      <c r="F76" s="342"/>
      <c r="G76" s="342"/>
      <c r="H76" s="342"/>
      <c r="I76" s="342"/>
      <c r="J76" s="342"/>
      <c r="K76" s="342"/>
      <c r="L76" s="342"/>
      <c r="M76" s="342"/>
      <c r="N76" s="342"/>
    </row>
    <row r="77" spans="2:14" ht="2.1" customHeight="1" thickBot="1" x14ac:dyDescent="0.3"/>
    <row r="78" spans="2:14" ht="15" customHeight="1" thickBot="1" x14ac:dyDescent="0.3">
      <c r="B78" s="73" t="s">
        <v>145</v>
      </c>
      <c r="C78" s="74" t="s">
        <v>114</v>
      </c>
      <c r="D78" s="74" t="s">
        <v>68</v>
      </c>
      <c r="E78" s="74" t="s">
        <v>141</v>
      </c>
      <c r="F78" s="74" t="s">
        <v>70</v>
      </c>
      <c r="G78" s="73" t="s">
        <v>71</v>
      </c>
      <c r="H78" s="73" t="s">
        <v>72</v>
      </c>
      <c r="I78" s="73" t="s">
        <v>73</v>
      </c>
      <c r="J78" s="73" t="s">
        <v>74</v>
      </c>
      <c r="K78" s="73" t="s">
        <v>75</v>
      </c>
      <c r="L78" s="73" t="s">
        <v>76</v>
      </c>
      <c r="M78" s="73" t="s">
        <v>77</v>
      </c>
      <c r="N78" s="73" t="s">
        <v>142</v>
      </c>
    </row>
    <row r="79" spans="2:14" ht="11.1" customHeight="1" x14ac:dyDescent="0.25">
      <c r="B79" s="75">
        <v>1</v>
      </c>
      <c r="C79" s="76" t="str">
        <f>IFERROR(IF('Weekly Timesheet'!B14="","",'Weekly Timesheet'!B14),"")</f>
        <v>Admin</v>
      </c>
      <c r="D79" s="76" t="str">
        <f>IFERROR(IF('Weekly Timesheet'!B14="","",'Weekly Timesheet'!C14),"")</f>
        <v>TIL Payout</v>
      </c>
      <c r="E79" s="76">
        <f>IFERROR(IF('Weekly Timesheet'!B14="","",'Weekly Timesheet'!D14),"")</f>
        <v>0</v>
      </c>
      <c r="F79" s="77">
        <f>IFERROR(IF('Weekly Timesheet'!B14="","",'Weekly Timesheet'!E14),"")</f>
        <v>0</v>
      </c>
      <c r="G79" s="77">
        <f>IFERROR(IF('Weekly Timesheet'!B14="","",'Weekly Timesheet'!F14),"")</f>
        <v>20</v>
      </c>
      <c r="H79" s="77">
        <f>IFERROR(IF('Weekly Timesheet'!B14="","",'Weekly Timesheet'!G14),"")</f>
        <v>0</v>
      </c>
      <c r="I79" s="77">
        <f>IFERROR(IF('Weekly Timesheet'!B14="","",'Weekly Timesheet'!H14),"")</f>
        <v>0</v>
      </c>
      <c r="J79" s="77">
        <f>IFERROR(IF('Weekly Timesheet'!B14="","",'Weekly Timesheet'!I14),"")</f>
        <v>0</v>
      </c>
      <c r="K79" s="77">
        <f>IFERROR(IF('Weekly Timesheet'!B14="","",'Weekly Timesheet'!J14),"")</f>
        <v>0</v>
      </c>
      <c r="L79" s="77">
        <f>IFERROR(IF('Weekly Timesheet'!B14="","",'Weekly Timesheet'!K14),"")</f>
        <v>0</v>
      </c>
      <c r="M79" s="77" t="str">
        <f>IFERROR(IF('Weekly Timesheet'!C14="","",'Weekly Timesheet'!L14),"")</f>
        <v>Recived Payment</v>
      </c>
      <c r="N79" s="78">
        <f>IFERROR(IF('Weekly Timesheet'!B14="","",'Weekly Timesheet'!M14),"")</f>
        <v>20</v>
      </c>
    </row>
    <row r="80" spans="2:14" ht="11.1" customHeight="1" x14ac:dyDescent="0.25">
      <c r="B80" s="75">
        <v>2</v>
      </c>
      <c r="C80" s="79" t="str">
        <f>IFERROR(IF('Weekly Timesheet'!B15="","",'Weekly Timesheet'!B15),"")</f>
        <v>Project</v>
      </c>
      <c r="D80" s="79" t="str">
        <f>IFERROR(IF('Weekly Timesheet'!B15="","",'Weekly Timesheet'!C15),"")</f>
        <v>Site Travel</v>
      </c>
      <c r="E80" s="79">
        <f>IFERROR(IF('Weekly Timesheet'!B15="","",'Weekly Timesheet'!D15),"")</f>
        <v>2026125</v>
      </c>
      <c r="F80" s="80">
        <f>IFERROR(IF('Weekly Timesheet'!B15="","",'Weekly Timesheet'!E15),"")</f>
        <v>8</v>
      </c>
      <c r="G80" s="80">
        <f>IFERROR(IF('Weekly Timesheet'!B15="","",'Weekly Timesheet'!F15),"")</f>
        <v>0</v>
      </c>
      <c r="H80" s="80">
        <f>IFERROR(IF('Weekly Timesheet'!B15="","",'Weekly Timesheet'!G15),"")</f>
        <v>0</v>
      </c>
      <c r="I80" s="80">
        <f>IFERROR(IF('Weekly Timesheet'!B15="","",'Weekly Timesheet'!H15),"")</f>
        <v>0</v>
      </c>
      <c r="J80" s="80">
        <f>IFERROR(IF('Weekly Timesheet'!B15="","",'Weekly Timesheet'!I15),"")</f>
        <v>0</v>
      </c>
      <c r="K80" s="80">
        <f>IFERROR(IF('Weekly Timesheet'!B15="","",'Weekly Timesheet'!J15),"")</f>
        <v>0</v>
      </c>
      <c r="L80" s="80">
        <f>IFERROR(IF('Weekly Timesheet'!B15="","",'Weekly Timesheet'!K15),"")</f>
        <v>0</v>
      </c>
      <c r="M80" s="80" t="str">
        <f>IFERROR(IF('Weekly Timesheet'!C15="","",'Weekly Timesheet'!L15),"")</f>
        <v>Travel to YYC</v>
      </c>
      <c r="N80" s="81">
        <f>IFERROR(IF('Weekly Timesheet'!B15="","",'Weekly Timesheet'!M15),"")</f>
        <v>8</v>
      </c>
    </row>
    <row r="81" spans="2:14" ht="11.1" customHeight="1" x14ac:dyDescent="0.25">
      <c r="B81" s="75">
        <v>3</v>
      </c>
      <c r="C81" s="76" t="str">
        <f>IFERROR(IF('Weekly Timesheet'!B16="","",'Weekly Timesheet'!B16),"")</f>
        <v>Admin</v>
      </c>
      <c r="D81" s="76" t="str">
        <f>IFERROR(IF('Weekly Timesheet'!B16="","",'Weekly Timesheet'!C16),"")</f>
        <v>Toolbox Meeting</v>
      </c>
      <c r="E81" s="76">
        <f>IFERROR(IF('Weekly Timesheet'!B16="","",'Weekly Timesheet'!D16),"")</f>
        <v>0</v>
      </c>
      <c r="F81" s="77">
        <f>IFERROR(IF('Weekly Timesheet'!B16="","",'Weekly Timesheet'!E16),"")</f>
        <v>0</v>
      </c>
      <c r="G81" s="77">
        <f>IFERROR(IF('Weekly Timesheet'!B16="","",'Weekly Timesheet'!F16),"")</f>
        <v>0</v>
      </c>
      <c r="H81" s="77">
        <f>IFERROR(IF('Weekly Timesheet'!B16="","",'Weekly Timesheet'!G16),"")</f>
        <v>1</v>
      </c>
      <c r="I81" s="77">
        <f>IFERROR(IF('Weekly Timesheet'!B16="","",'Weekly Timesheet'!H16),"")</f>
        <v>0</v>
      </c>
      <c r="J81" s="77">
        <f>IFERROR(IF('Weekly Timesheet'!B16="","",'Weekly Timesheet'!I16),"")</f>
        <v>0</v>
      </c>
      <c r="K81" s="77">
        <f>IFERROR(IF('Weekly Timesheet'!B16="","",'Weekly Timesheet'!J16),"")</f>
        <v>0</v>
      </c>
      <c r="L81" s="77">
        <f>IFERROR(IF('Weekly Timesheet'!B16="","",'Weekly Timesheet'!K16),"")</f>
        <v>0</v>
      </c>
      <c r="M81" s="77" t="str">
        <f>IFERROR(IF('Weekly Timesheet'!C16="","",'Weekly Timesheet'!L16),"")</f>
        <v>Pit Stop</v>
      </c>
      <c r="N81" s="78">
        <f>IFERROR(IF('Weekly Timesheet'!B16="","",'Weekly Timesheet'!M16),"")</f>
        <v>1</v>
      </c>
    </row>
    <row r="82" spans="2:14" ht="20.100000000000001" customHeight="1" x14ac:dyDescent="0.25">
      <c r="B82" s="75">
        <v>4</v>
      </c>
      <c r="C82" s="79" t="str">
        <f>IFERROR(IF('Weekly Timesheet'!B17="","",'Weekly Timesheet'!B17),"")</f>
        <v>Office &amp; Sales</v>
      </c>
      <c r="D82" s="79" t="str">
        <f>IFERROR(IF('Weekly Timesheet'!B17="","",'Weekly Timesheet'!C17),"")</f>
        <v>General</v>
      </c>
      <c r="E82" s="79">
        <f>IFERROR(IF('Weekly Timesheet'!B17="","",'Weekly Timesheet'!D17),"")</f>
        <v>0</v>
      </c>
      <c r="F82" s="80">
        <f>IFERROR(IF('Weekly Timesheet'!B17="","",'Weekly Timesheet'!E17),"")</f>
        <v>0</v>
      </c>
      <c r="G82" s="80">
        <f>IFERROR(IF('Weekly Timesheet'!B17="","",'Weekly Timesheet'!F17),"")</f>
        <v>8</v>
      </c>
      <c r="H82" s="80">
        <f>IFERROR(IF('Weekly Timesheet'!B17="","",'Weekly Timesheet'!G17),"")</f>
        <v>7</v>
      </c>
      <c r="I82" s="80">
        <f>IFERROR(IF('Weekly Timesheet'!B17="","",'Weekly Timesheet'!H17),"")</f>
        <v>6</v>
      </c>
      <c r="J82" s="80">
        <f>IFERROR(IF('Weekly Timesheet'!B17="","",'Weekly Timesheet'!I17),"")</f>
        <v>0</v>
      </c>
      <c r="K82" s="80">
        <f>IFERROR(IF('Weekly Timesheet'!B17="","",'Weekly Timesheet'!J17),"")</f>
        <v>0</v>
      </c>
      <c r="L82" s="80">
        <f>IFERROR(IF('Weekly Timesheet'!B17="","",'Weekly Timesheet'!K17),"")</f>
        <v>0</v>
      </c>
      <c r="M82" s="80" t="str">
        <f>IFERROR(IF('Weekly Timesheet'!C17="","",'Weekly Timesheet'!L17),"")</f>
        <v>Timesheet; Email Reply; Timesheet and Expense report template for Team</v>
      </c>
      <c r="N82" s="81">
        <f>IFERROR(IF('Weekly Timesheet'!B17="","",'Weekly Timesheet'!M17),"")</f>
        <v>21</v>
      </c>
    </row>
    <row r="83" spans="2:14" ht="11.1" customHeight="1" x14ac:dyDescent="0.25">
      <c r="B83" s="75">
        <v>5</v>
      </c>
      <c r="C83" s="76" t="str">
        <f>IFERROR(IF('Weekly Timesheet'!B18="","",'Weekly Timesheet'!B18),"")</f>
        <v>Project</v>
      </c>
      <c r="D83" s="76" t="str">
        <f>IFERROR(IF('Weekly Timesheet'!B18="","",'Weekly Timesheet'!C18),"")</f>
        <v>Report</v>
      </c>
      <c r="E83" s="76">
        <f>IFERROR(IF('Weekly Timesheet'!B18="","",'Weekly Timesheet'!D18),"")</f>
        <v>2026125</v>
      </c>
      <c r="F83" s="77">
        <f>IFERROR(IF('Weekly Timesheet'!B18="","",'Weekly Timesheet'!E18),"")</f>
        <v>0</v>
      </c>
      <c r="G83" s="77">
        <f>IFERROR(IF('Weekly Timesheet'!B18="","",'Weekly Timesheet'!F18),"")</f>
        <v>0</v>
      </c>
      <c r="H83" s="77">
        <f>IFERROR(IF('Weekly Timesheet'!B18="","",'Weekly Timesheet'!G18),"")</f>
        <v>0</v>
      </c>
      <c r="I83" s="77">
        <f>IFERROR(IF('Weekly Timesheet'!B18="","",'Weekly Timesheet'!H18),"")</f>
        <v>2</v>
      </c>
      <c r="J83" s="77">
        <f>IFERROR(IF('Weekly Timesheet'!B18="","",'Weekly Timesheet'!I18),"")</f>
        <v>0</v>
      </c>
      <c r="K83" s="77">
        <f>IFERROR(IF('Weekly Timesheet'!B18="","",'Weekly Timesheet'!J18),"")</f>
        <v>0</v>
      </c>
      <c r="L83" s="77">
        <f>IFERROR(IF('Weekly Timesheet'!B18="","",'Weekly Timesheet'!K18),"")</f>
        <v>0</v>
      </c>
      <c r="M83" s="77" t="str">
        <f>IFERROR(IF('Weekly Timesheet'!C18="","",'Weekly Timesheet'!L18),"")</f>
        <v>Summary Letter</v>
      </c>
      <c r="N83" s="78">
        <f>IFERROR(IF('Weekly Timesheet'!B18="","",'Weekly Timesheet'!M18),"")</f>
        <v>2</v>
      </c>
    </row>
    <row r="84" spans="2:14" ht="11.1" customHeight="1" x14ac:dyDescent="0.25">
      <c r="B84" s="75">
        <v>6</v>
      </c>
      <c r="C84" s="79" t="str">
        <f>IFERROR(IF('Weekly Timesheet'!B19="","",'Weekly Timesheet'!B19),"")</f>
        <v>Admin</v>
      </c>
      <c r="D84" s="79" t="str">
        <f>IFERROR(IF('Weekly Timesheet'!B19="","",'Weekly Timesheet'!C19),"")</f>
        <v>Statutory Holiday</v>
      </c>
      <c r="E84" s="79">
        <f>IFERROR(IF('Weekly Timesheet'!B19="","",'Weekly Timesheet'!D19),"")</f>
        <v>0</v>
      </c>
      <c r="F84" s="80">
        <f>IFERROR(IF('Weekly Timesheet'!B19="","",'Weekly Timesheet'!E19),"")</f>
        <v>0</v>
      </c>
      <c r="G84" s="80">
        <f>IFERROR(IF('Weekly Timesheet'!B19="","",'Weekly Timesheet'!F19),"")</f>
        <v>0</v>
      </c>
      <c r="H84" s="80">
        <f>IFERROR(IF('Weekly Timesheet'!B19="","",'Weekly Timesheet'!G19),"")</f>
        <v>0</v>
      </c>
      <c r="I84" s="80">
        <f>IFERROR(IF('Weekly Timesheet'!B19="","",'Weekly Timesheet'!H19),"")</f>
        <v>0</v>
      </c>
      <c r="J84" s="80">
        <f>IFERROR(IF('Weekly Timesheet'!B19="","",'Weekly Timesheet'!I19),"")</f>
        <v>8</v>
      </c>
      <c r="K84" s="80">
        <f>IFERROR(IF('Weekly Timesheet'!B19="","",'Weekly Timesheet'!J19),"")</f>
        <v>0</v>
      </c>
      <c r="L84" s="80">
        <f>IFERROR(IF('Weekly Timesheet'!B19="","",'Weekly Timesheet'!K19),"")</f>
        <v>0</v>
      </c>
      <c r="M84" s="80" t="str">
        <f>IFERROR(IF('Weekly Timesheet'!C19="","",'Weekly Timesheet'!L19),"")</f>
        <v>Good Friday</v>
      </c>
      <c r="N84" s="81">
        <f>IFERROR(IF('Weekly Timesheet'!B19="","",'Weekly Timesheet'!M19),"")</f>
        <v>8</v>
      </c>
    </row>
    <row r="85" spans="2:14" ht="11.1" customHeight="1" x14ac:dyDescent="0.25">
      <c r="B85" s="75">
        <v>7</v>
      </c>
      <c r="C85" s="76" t="str">
        <f>IFERROR(IF('Weekly Timesheet'!B20="","",'Weekly Timesheet'!B20),"")</f>
        <v/>
      </c>
      <c r="D85" s="76" t="str">
        <f>IFERROR(IF('Weekly Timesheet'!B20="","",'Weekly Timesheet'!C20),"")</f>
        <v/>
      </c>
      <c r="E85" s="76" t="str">
        <f>IFERROR(IF('Weekly Timesheet'!B20="","",'Weekly Timesheet'!D20),"")</f>
        <v/>
      </c>
      <c r="F85" s="77" t="str">
        <f>IFERROR(IF('Weekly Timesheet'!B20="","",'Weekly Timesheet'!E20),"")</f>
        <v/>
      </c>
      <c r="G85" s="77" t="str">
        <f>IFERROR(IF('Weekly Timesheet'!B20="","",'Weekly Timesheet'!F20),"")</f>
        <v/>
      </c>
      <c r="H85" s="77" t="str">
        <f>IFERROR(IF('Weekly Timesheet'!B20="","",'Weekly Timesheet'!G20),"")</f>
        <v/>
      </c>
      <c r="I85" s="77" t="str">
        <f>IFERROR(IF('Weekly Timesheet'!B20="","",'Weekly Timesheet'!H20),"")</f>
        <v/>
      </c>
      <c r="J85" s="77" t="str">
        <f>IFERROR(IF('Weekly Timesheet'!B20="","",'Weekly Timesheet'!I20),"")</f>
        <v/>
      </c>
      <c r="K85" s="77" t="str">
        <f>IFERROR(IF('Weekly Timesheet'!B20="","",'Weekly Timesheet'!J20),"")</f>
        <v/>
      </c>
      <c r="L85" s="77" t="str">
        <f>IFERROR(IF('Weekly Timesheet'!B20="","",'Weekly Timesheet'!K20),"")</f>
        <v/>
      </c>
      <c r="M85" s="77" t="str">
        <f>IFERROR(IF('Weekly Timesheet'!C20="","",'Weekly Timesheet'!L20),"")</f>
        <v/>
      </c>
      <c r="N85" s="78" t="str">
        <f>IFERROR(IF('Weekly Timesheet'!B20="","",'Weekly Timesheet'!M20),"")</f>
        <v/>
      </c>
    </row>
    <row r="86" spans="2:14" ht="11.1" customHeight="1" x14ac:dyDescent="0.25">
      <c r="B86" s="75">
        <v>8</v>
      </c>
      <c r="C86" s="79" t="str">
        <f>IFERROR(IF('Weekly Timesheet'!B21="","",'Weekly Timesheet'!B21),"")</f>
        <v/>
      </c>
      <c r="D86" s="79" t="str">
        <f>IFERROR(IF('Weekly Timesheet'!B21="","",'Weekly Timesheet'!C21),"")</f>
        <v/>
      </c>
      <c r="E86" s="79" t="str">
        <f>IFERROR(IF('Weekly Timesheet'!B21="","",'Weekly Timesheet'!D21),"")</f>
        <v/>
      </c>
      <c r="F86" s="80" t="str">
        <f>IFERROR(IF('Weekly Timesheet'!B21="","",'Weekly Timesheet'!E21),"")</f>
        <v/>
      </c>
      <c r="G86" s="80" t="str">
        <f>IFERROR(IF('Weekly Timesheet'!B21="","",'Weekly Timesheet'!F21),"")</f>
        <v/>
      </c>
      <c r="H86" s="80" t="str">
        <f>IFERROR(IF('Weekly Timesheet'!B21="","",'Weekly Timesheet'!G21),"")</f>
        <v/>
      </c>
      <c r="I86" s="80" t="str">
        <f>IFERROR(IF('Weekly Timesheet'!B21="","",'Weekly Timesheet'!H21),"")</f>
        <v/>
      </c>
      <c r="J86" s="80" t="str">
        <f>IFERROR(IF('Weekly Timesheet'!B21="","",'Weekly Timesheet'!I21),"")</f>
        <v/>
      </c>
      <c r="K86" s="80" t="str">
        <f>IFERROR(IF('Weekly Timesheet'!B21="","",'Weekly Timesheet'!J21),"")</f>
        <v/>
      </c>
      <c r="L86" s="80" t="str">
        <f>IFERROR(IF('Weekly Timesheet'!B21="","",'Weekly Timesheet'!K21),"")</f>
        <v/>
      </c>
      <c r="M86" s="80" t="str">
        <f>IFERROR(IF('Weekly Timesheet'!C21="","",'Weekly Timesheet'!L21),"")</f>
        <v/>
      </c>
      <c r="N86" s="81" t="str">
        <f>IFERROR(IF('Weekly Timesheet'!B21="","",'Weekly Timesheet'!M21),"")</f>
        <v/>
      </c>
    </row>
    <row r="87" spans="2:14" ht="11.1" customHeight="1" x14ac:dyDescent="0.25">
      <c r="B87" s="75">
        <v>9</v>
      </c>
      <c r="C87" s="76" t="str">
        <f>IFERROR(IF('Weekly Timesheet'!B22="","",'Weekly Timesheet'!B22),"")</f>
        <v/>
      </c>
      <c r="D87" s="76" t="str">
        <f>IFERROR(IF('Weekly Timesheet'!B22="","",'Weekly Timesheet'!C22),"")</f>
        <v/>
      </c>
      <c r="E87" s="76" t="str">
        <f>IFERROR(IF('Weekly Timesheet'!B22="","",'Weekly Timesheet'!D22),"")</f>
        <v/>
      </c>
      <c r="F87" s="77" t="str">
        <f>IFERROR(IF('Weekly Timesheet'!B22="","",'Weekly Timesheet'!E22),"")</f>
        <v/>
      </c>
      <c r="G87" s="77" t="str">
        <f>IFERROR(IF('Weekly Timesheet'!B22="","",'Weekly Timesheet'!F22),"")</f>
        <v/>
      </c>
      <c r="H87" s="77" t="str">
        <f>IFERROR(IF('Weekly Timesheet'!B22="","",'Weekly Timesheet'!G22),"")</f>
        <v/>
      </c>
      <c r="I87" s="77" t="str">
        <f>IFERROR(IF('Weekly Timesheet'!B22="","",'Weekly Timesheet'!H22),"")</f>
        <v/>
      </c>
      <c r="J87" s="77" t="str">
        <f>IFERROR(IF('Weekly Timesheet'!B22="","",'Weekly Timesheet'!I22),"")</f>
        <v/>
      </c>
      <c r="K87" s="77" t="str">
        <f>IFERROR(IF('Weekly Timesheet'!B22="","",'Weekly Timesheet'!J22),"")</f>
        <v/>
      </c>
      <c r="L87" s="77" t="str">
        <f>IFERROR(IF('Weekly Timesheet'!B22="","",'Weekly Timesheet'!K22),"")</f>
        <v/>
      </c>
      <c r="M87" s="77" t="str">
        <f>IFERROR(IF('Weekly Timesheet'!C22="","",'Weekly Timesheet'!L22),"")</f>
        <v/>
      </c>
      <c r="N87" s="78" t="str">
        <f>IFERROR(IF('Weekly Timesheet'!B22="","",'Weekly Timesheet'!M22),"")</f>
        <v/>
      </c>
    </row>
    <row r="88" spans="2:14" ht="11.1" customHeight="1" x14ac:dyDescent="0.25">
      <c r="B88" s="75">
        <v>10</v>
      </c>
      <c r="C88" s="79" t="str">
        <f>IFERROR(IF('Weekly Timesheet'!B23="","",'Weekly Timesheet'!B23),"")</f>
        <v/>
      </c>
      <c r="D88" s="79" t="str">
        <f>IFERROR(IF('Weekly Timesheet'!B23="","",'Weekly Timesheet'!C23),"")</f>
        <v/>
      </c>
      <c r="E88" s="79" t="str">
        <f>IFERROR(IF('Weekly Timesheet'!B23="","",'Weekly Timesheet'!D23),"")</f>
        <v/>
      </c>
      <c r="F88" s="80" t="str">
        <f>IFERROR(IF('Weekly Timesheet'!B23="","",'Weekly Timesheet'!E23),"")</f>
        <v/>
      </c>
      <c r="G88" s="80" t="str">
        <f>IFERROR(IF('Weekly Timesheet'!B23="","",'Weekly Timesheet'!F23),"")</f>
        <v/>
      </c>
      <c r="H88" s="80" t="str">
        <f>IFERROR(IF('Weekly Timesheet'!B23="","",'Weekly Timesheet'!G23),"")</f>
        <v/>
      </c>
      <c r="I88" s="80" t="str">
        <f>IFERROR(IF('Weekly Timesheet'!B23="","",'Weekly Timesheet'!H23),"")</f>
        <v/>
      </c>
      <c r="J88" s="80" t="str">
        <f>IFERROR(IF('Weekly Timesheet'!B23="","",'Weekly Timesheet'!I23),"")</f>
        <v/>
      </c>
      <c r="K88" s="80" t="str">
        <f>IFERROR(IF('Weekly Timesheet'!B23="","",'Weekly Timesheet'!J23),"")</f>
        <v/>
      </c>
      <c r="L88" s="80" t="str">
        <f>IFERROR(IF('Weekly Timesheet'!B23="","",'Weekly Timesheet'!K23),"")</f>
        <v/>
      </c>
      <c r="M88" s="80" t="str">
        <f>IFERROR(IF('Weekly Timesheet'!C23="","",'Weekly Timesheet'!L23),"")</f>
        <v/>
      </c>
      <c r="N88" s="81" t="str">
        <f>IFERROR(IF('Weekly Timesheet'!B23="","",'Weekly Timesheet'!M23),"")</f>
        <v/>
      </c>
    </row>
    <row r="89" spans="2:14" ht="11.1" customHeight="1" x14ac:dyDescent="0.25">
      <c r="B89" s="75">
        <v>11</v>
      </c>
      <c r="C89" s="76" t="str">
        <f>IFERROR(IF('Weekly Timesheet'!B24="","",'Weekly Timesheet'!B24),"")</f>
        <v/>
      </c>
      <c r="D89" s="76" t="str">
        <f>IFERROR(IF('Weekly Timesheet'!B24="","",'Weekly Timesheet'!C24),"")</f>
        <v/>
      </c>
      <c r="E89" s="76" t="str">
        <f>IFERROR(IF('Weekly Timesheet'!B24="","",'Weekly Timesheet'!D24),"")</f>
        <v/>
      </c>
      <c r="F89" s="77" t="str">
        <f>IFERROR(IF('Weekly Timesheet'!B24="","",'Weekly Timesheet'!E24),"")</f>
        <v/>
      </c>
      <c r="G89" s="77" t="str">
        <f>IFERROR(IF('Weekly Timesheet'!B24="","",'Weekly Timesheet'!F24),"")</f>
        <v/>
      </c>
      <c r="H89" s="77" t="str">
        <f>IFERROR(IF('Weekly Timesheet'!B24="","",'Weekly Timesheet'!G24),"")</f>
        <v/>
      </c>
      <c r="I89" s="77" t="str">
        <f>IFERROR(IF('Weekly Timesheet'!B24="","",'Weekly Timesheet'!H24),"")</f>
        <v/>
      </c>
      <c r="J89" s="77" t="str">
        <f>IFERROR(IF('Weekly Timesheet'!B24="","",'Weekly Timesheet'!I24),"")</f>
        <v/>
      </c>
      <c r="K89" s="77" t="str">
        <f>IFERROR(IF('Weekly Timesheet'!B24="","",'Weekly Timesheet'!J24),"")</f>
        <v/>
      </c>
      <c r="L89" s="77" t="str">
        <f>IFERROR(IF('Weekly Timesheet'!B24="","",'Weekly Timesheet'!K24),"")</f>
        <v/>
      </c>
      <c r="M89" s="77" t="str">
        <f>IFERROR(IF('Weekly Timesheet'!C24="","",'Weekly Timesheet'!L24),"")</f>
        <v/>
      </c>
      <c r="N89" s="78" t="str">
        <f>IFERROR(IF('Weekly Timesheet'!B24="","",'Weekly Timesheet'!M24),"")</f>
        <v/>
      </c>
    </row>
    <row r="90" spans="2:14" ht="11.1" customHeight="1" x14ac:dyDescent="0.25">
      <c r="B90" s="75">
        <v>12</v>
      </c>
      <c r="C90" s="79" t="str">
        <f>IFERROR(IF('Weekly Timesheet'!B25="","",'Weekly Timesheet'!B25),"")</f>
        <v/>
      </c>
      <c r="D90" s="79" t="str">
        <f>IFERROR(IF('Weekly Timesheet'!B25="","",'Weekly Timesheet'!C25),"")</f>
        <v/>
      </c>
      <c r="E90" s="79" t="str">
        <f>IFERROR(IF('Weekly Timesheet'!B25="","",'Weekly Timesheet'!D25),"")</f>
        <v/>
      </c>
      <c r="F90" s="80" t="str">
        <f>IFERROR(IF('Weekly Timesheet'!B25="","",'Weekly Timesheet'!E25),"")</f>
        <v/>
      </c>
      <c r="G90" s="80" t="str">
        <f>IFERROR(IF('Weekly Timesheet'!B25="","",'Weekly Timesheet'!F25),"")</f>
        <v/>
      </c>
      <c r="H90" s="80" t="str">
        <f>IFERROR(IF('Weekly Timesheet'!B25="","",'Weekly Timesheet'!G25),"")</f>
        <v/>
      </c>
      <c r="I90" s="80" t="str">
        <f>IFERROR(IF('Weekly Timesheet'!B25="","",'Weekly Timesheet'!H25),"")</f>
        <v/>
      </c>
      <c r="J90" s="80" t="str">
        <f>IFERROR(IF('Weekly Timesheet'!B25="","",'Weekly Timesheet'!I25),"")</f>
        <v/>
      </c>
      <c r="K90" s="80" t="str">
        <f>IFERROR(IF('Weekly Timesheet'!B25="","",'Weekly Timesheet'!J25),"")</f>
        <v/>
      </c>
      <c r="L90" s="80" t="str">
        <f>IFERROR(IF('Weekly Timesheet'!B25="","",'Weekly Timesheet'!K25),"")</f>
        <v/>
      </c>
      <c r="M90" s="80" t="str">
        <f>IFERROR(IF('Weekly Timesheet'!C25="","",'Weekly Timesheet'!L25),"")</f>
        <v/>
      </c>
      <c r="N90" s="81" t="str">
        <f>IFERROR(IF('Weekly Timesheet'!B25="","",'Weekly Timesheet'!M25),"")</f>
        <v/>
      </c>
    </row>
    <row r="91" spans="2:14" ht="11.1" customHeight="1" x14ac:dyDescent="0.25">
      <c r="B91" s="75">
        <v>13</v>
      </c>
      <c r="C91" s="76" t="str">
        <f>IFERROR(IF('Weekly Timesheet'!B26="","",'Weekly Timesheet'!B26),"")</f>
        <v/>
      </c>
      <c r="D91" s="76" t="str">
        <f>IFERROR(IF('Weekly Timesheet'!B26="","",'Weekly Timesheet'!C26),"")</f>
        <v/>
      </c>
      <c r="E91" s="76" t="str">
        <f>IFERROR(IF('Weekly Timesheet'!B26="","",'Weekly Timesheet'!D26),"")</f>
        <v/>
      </c>
      <c r="F91" s="77" t="str">
        <f>IFERROR(IF('Weekly Timesheet'!B26="","",'Weekly Timesheet'!E26),"")</f>
        <v/>
      </c>
      <c r="G91" s="77" t="str">
        <f>IFERROR(IF('Weekly Timesheet'!B26="","",'Weekly Timesheet'!F26),"")</f>
        <v/>
      </c>
      <c r="H91" s="77" t="str">
        <f>IFERROR(IF('Weekly Timesheet'!B26="","",'Weekly Timesheet'!G26),"")</f>
        <v/>
      </c>
      <c r="I91" s="77" t="str">
        <f>IFERROR(IF('Weekly Timesheet'!B26="","",'Weekly Timesheet'!H26),"")</f>
        <v/>
      </c>
      <c r="J91" s="77" t="str">
        <f>IFERROR(IF('Weekly Timesheet'!B26="","",'Weekly Timesheet'!I26),"")</f>
        <v/>
      </c>
      <c r="K91" s="77" t="str">
        <f>IFERROR(IF('Weekly Timesheet'!B26="","",'Weekly Timesheet'!J26),"")</f>
        <v/>
      </c>
      <c r="L91" s="77" t="str">
        <f>IFERROR(IF('Weekly Timesheet'!B26="","",'Weekly Timesheet'!K26),"")</f>
        <v/>
      </c>
      <c r="M91" s="77" t="str">
        <f>IFERROR(IF('Weekly Timesheet'!C26="","",'Weekly Timesheet'!L26),"")</f>
        <v/>
      </c>
      <c r="N91" s="78" t="str">
        <f>IFERROR(IF('Weekly Timesheet'!B26="","",'Weekly Timesheet'!M26),"")</f>
        <v/>
      </c>
    </row>
    <row r="92" spans="2:14" ht="11.1" customHeight="1" x14ac:dyDescent="0.25">
      <c r="B92" s="75">
        <v>14</v>
      </c>
      <c r="C92" s="79" t="str">
        <f>IFERROR(IF('Weekly Timesheet'!B27="","",'Weekly Timesheet'!B27),"")</f>
        <v/>
      </c>
      <c r="D92" s="79" t="str">
        <f>IFERROR(IF('Weekly Timesheet'!B27="","",'Weekly Timesheet'!C27),"")</f>
        <v/>
      </c>
      <c r="E92" s="79" t="str">
        <f>IFERROR(IF('Weekly Timesheet'!B27="","",'Weekly Timesheet'!D27),"")</f>
        <v/>
      </c>
      <c r="F92" s="80" t="str">
        <f>IFERROR(IF('Weekly Timesheet'!B27="","",'Weekly Timesheet'!E27),"")</f>
        <v/>
      </c>
      <c r="G92" s="80" t="str">
        <f>IFERROR(IF('Weekly Timesheet'!B27="","",'Weekly Timesheet'!F27),"")</f>
        <v/>
      </c>
      <c r="H92" s="80" t="str">
        <f>IFERROR(IF('Weekly Timesheet'!B27="","",'Weekly Timesheet'!G27),"")</f>
        <v/>
      </c>
      <c r="I92" s="80" t="str">
        <f>IFERROR(IF('Weekly Timesheet'!B27="","",'Weekly Timesheet'!H27),"")</f>
        <v/>
      </c>
      <c r="J92" s="80" t="str">
        <f>IFERROR(IF('Weekly Timesheet'!B27="","",'Weekly Timesheet'!I27),"")</f>
        <v/>
      </c>
      <c r="K92" s="80" t="str">
        <f>IFERROR(IF('Weekly Timesheet'!B27="","",'Weekly Timesheet'!J27),"")</f>
        <v/>
      </c>
      <c r="L92" s="80" t="str">
        <f>IFERROR(IF('Weekly Timesheet'!B27="","",'Weekly Timesheet'!K27),"")</f>
        <v/>
      </c>
      <c r="M92" s="80" t="str">
        <f>IFERROR(IF('Weekly Timesheet'!C27="","",'Weekly Timesheet'!L27),"")</f>
        <v/>
      </c>
      <c r="N92" s="81" t="str">
        <f>IFERROR(IF('Weekly Timesheet'!B27="","",'Weekly Timesheet'!M27),"")</f>
        <v/>
      </c>
    </row>
    <row r="93" spans="2:14" ht="11.1" customHeight="1" thickBot="1" x14ac:dyDescent="0.3">
      <c r="B93" s="75">
        <v>15</v>
      </c>
      <c r="C93" s="76" t="str">
        <f>IFERROR(IF('Weekly Timesheet'!B28="","",'Weekly Timesheet'!B28),"")</f>
        <v/>
      </c>
      <c r="D93" s="76" t="str">
        <f>IFERROR(IF('Weekly Timesheet'!B28="","",'Weekly Timesheet'!C28),"")</f>
        <v/>
      </c>
      <c r="E93" s="76" t="str">
        <f>IFERROR(IF('Weekly Timesheet'!B28="","",'Weekly Timesheet'!D28),"")</f>
        <v/>
      </c>
      <c r="F93" s="77" t="str">
        <f>IFERROR(IF('Weekly Timesheet'!B28="","",'Weekly Timesheet'!E28),"")</f>
        <v/>
      </c>
      <c r="G93" s="77" t="str">
        <f>IFERROR(IF('Weekly Timesheet'!B28="","",'Weekly Timesheet'!F28),"")</f>
        <v/>
      </c>
      <c r="H93" s="77" t="str">
        <f>IFERROR(IF('Weekly Timesheet'!B28="","",'Weekly Timesheet'!G28),"")</f>
        <v/>
      </c>
      <c r="I93" s="77" t="str">
        <f>IFERROR(IF('Weekly Timesheet'!B28="","",'Weekly Timesheet'!H28),"")</f>
        <v/>
      </c>
      <c r="J93" s="77" t="str">
        <f>IFERROR(IF('Weekly Timesheet'!B28="","",'Weekly Timesheet'!I28),"")</f>
        <v/>
      </c>
      <c r="K93" s="77" t="str">
        <f>IFERROR(IF('Weekly Timesheet'!B28="","",'Weekly Timesheet'!J28),"")</f>
        <v/>
      </c>
      <c r="L93" s="77" t="str">
        <f>IFERROR(IF('Weekly Timesheet'!B28="","",'Weekly Timesheet'!K28),"")</f>
        <v/>
      </c>
      <c r="M93" s="77" t="str">
        <f>IFERROR(IF('Weekly Timesheet'!C28="","",'Weekly Timesheet'!L28),"")</f>
        <v/>
      </c>
      <c r="N93" s="78" t="str">
        <f>IFERROR(IF('Weekly Timesheet'!B28="","",'Weekly Timesheet'!M28),"")</f>
        <v/>
      </c>
    </row>
    <row r="94" spans="2:14" ht="12.95" customHeight="1" collapsed="1" thickBot="1" x14ac:dyDescent="0.3">
      <c r="B94" s="407" t="s">
        <v>146</v>
      </c>
      <c r="C94" s="407"/>
      <c r="D94" s="407"/>
      <c r="E94" s="407"/>
      <c r="F94" s="82">
        <f>IFERROR(SUM('Weekly Timesheet'!E14:E28),0)</f>
        <v>8</v>
      </c>
      <c r="G94" s="82">
        <f>IFERROR(SUM('Weekly Timesheet'!F14:F28),0)</f>
        <v>28</v>
      </c>
      <c r="H94" s="82">
        <f>IFERROR(SUM('Weekly Timesheet'!G14:G28),0)</f>
        <v>8</v>
      </c>
      <c r="I94" s="82">
        <f>IFERROR(SUM('Weekly Timesheet'!H14:H28),0)</f>
        <v>8</v>
      </c>
      <c r="J94" s="82">
        <f>IFERROR(SUM('Weekly Timesheet'!I14:I28),0)</f>
        <v>8</v>
      </c>
      <c r="K94" s="82">
        <f>IFERROR(SUM('Weekly Timesheet'!J14:J28),0)</f>
        <v>0</v>
      </c>
      <c r="L94" s="82">
        <f>IFERROR(SUM('Weekly Timesheet'!K14:K28),0)</f>
        <v>0</v>
      </c>
      <c r="M94" s="83"/>
      <c r="N94" s="82">
        <f>IFERROR(SUM('Weekly Timesheet'!M14:M28),0)</f>
        <v>60</v>
      </c>
    </row>
    <row r="95" spans="2:14" ht="2.1" customHeight="1" x14ac:dyDescent="0.25"/>
    <row r="96" spans="2:14" ht="11.1" customHeight="1" x14ac:dyDescent="0.25">
      <c r="B96" s="408" t="s">
        <v>147</v>
      </c>
      <c r="C96" s="409"/>
      <c r="D96" s="409"/>
      <c r="E96" s="409"/>
      <c r="F96" s="409"/>
      <c r="G96" s="409"/>
      <c r="H96" s="409"/>
      <c r="I96" s="409"/>
      <c r="J96" s="409"/>
      <c r="K96" s="409"/>
      <c r="L96" s="409"/>
      <c r="M96" s="409"/>
      <c r="N96" s="409"/>
    </row>
  </sheetData>
  <mergeCells count="182">
    <mergeCell ref="B74:G74"/>
    <mergeCell ref="B76:N76"/>
    <mergeCell ref="B94:E94"/>
    <mergeCell ref="B96:N96"/>
    <mergeCell ref="B71:D71"/>
    <mergeCell ref="E71:G71"/>
    <mergeCell ref="B72:D72"/>
    <mergeCell ref="E72:G72"/>
    <mergeCell ref="B73:D73"/>
    <mergeCell ref="E73:G73"/>
    <mergeCell ref="B68:D68"/>
    <mergeCell ref="E68:G68"/>
    <mergeCell ref="B69:D69"/>
    <mergeCell ref="E69:G69"/>
    <mergeCell ref="B70:D70"/>
    <mergeCell ref="E70:G70"/>
    <mergeCell ref="B65:D65"/>
    <mergeCell ref="E65:G65"/>
    <mergeCell ref="B66:D66"/>
    <mergeCell ref="E66:G66"/>
    <mergeCell ref="B67:D67"/>
    <mergeCell ref="E67:G67"/>
    <mergeCell ref="B62:D62"/>
    <mergeCell ref="E62:G62"/>
    <mergeCell ref="B63:D63"/>
    <mergeCell ref="E63:G63"/>
    <mergeCell ref="B64:D64"/>
    <mergeCell ref="E64:G64"/>
    <mergeCell ref="B59:D59"/>
    <mergeCell ref="E59:G59"/>
    <mergeCell ref="B60:D60"/>
    <mergeCell ref="E60:G60"/>
    <mergeCell ref="B61:D61"/>
    <mergeCell ref="E61:G61"/>
    <mergeCell ref="B54:D54"/>
    <mergeCell ref="E54:G54"/>
    <mergeCell ref="H54:J54"/>
    <mergeCell ref="K54:M54"/>
    <mergeCell ref="B56:N56"/>
    <mergeCell ref="B58:D58"/>
    <mergeCell ref="E58:G58"/>
    <mergeCell ref="B52:D52"/>
    <mergeCell ref="E52:G52"/>
    <mergeCell ref="H52:J52"/>
    <mergeCell ref="K52:M52"/>
    <mergeCell ref="B53:D53"/>
    <mergeCell ref="E53:G53"/>
    <mergeCell ref="H53:J53"/>
    <mergeCell ref="K53:M53"/>
    <mergeCell ref="B50:D50"/>
    <mergeCell ref="E50:G50"/>
    <mergeCell ref="H50:J50"/>
    <mergeCell ref="K50:M50"/>
    <mergeCell ref="B51:D51"/>
    <mergeCell ref="E51:G51"/>
    <mergeCell ref="H51:J51"/>
    <mergeCell ref="K51:M51"/>
    <mergeCell ref="B48:D48"/>
    <mergeCell ref="E48:G48"/>
    <mergeCell ref="H48:J48"/>
    <mergeCell ref="K48:M48"/>
    <mergeCell ref="B49:D49"/>
    <mergeCell ref="E49:G49"/>
    <mergeCell ref="H49:J49"/>
    <mergeCell ref="K49:M49"/>
    <mergeCell ref="B46:D46"/>
    <mergeCell ref="E46:G46"/>
    <mergeCell ref="H46:J46"/>
    <mergeCell ref="K46:M46"/>
    <mergeCell ref="B47:D47"/>
    <mergeCell ref="E47:G47"/>
    <mergeCell ref="H47:J47"/>
    <mergeCell ref="K47:M47"/>
    <mergeCell ref="B44:D44"/>
    <mergeCell ref="E44:G44"/>
    <mergeCell ref="H44:J44"/>
    <mergeCell ref="K44:M44"/>
    <mergeCell ref="B45:D45"/>
    <mergeCell ref="E45:G45"/>
    <mergeCell ref="H45:J45"/>
    <mergeCell ref="K45:M45"/>
    <mergeCell ref="B42:D42"/>
    <mergeCell ref="E42:G42"/>
    <mergeCell ref="H42:J42"/>
    <mergeCell ref="K42:M42"/>
    <mergeCell ref="B43:D43"/>
    <mergeCell ref="E43:G43"/>
    <mergeCell ref="H43:J43"/>
    <mergeCell ref="K43:M43"/>
    <mergeCell ref="B40:D40"/>
    <mergeCell ref="E40:G40"/>
    <mergeCell ref="H40:J40"/>
    <mergeCell ref="K40:M40"/>
    <mergeCell ref="B41:D41"/>
    <mergeCell ref="E41:G41"/>
    <mergeCell ref="H41:J41"/>
    <mergeCell ref="K41:M41"/>
    <mergeCell ref="B38:D38"/>
    <mergeCell ref="E38:G38"/>
    <mergeCell ref="H38:J38"/>
    <mergeCell ref="K38:M38"/>
    <mergeCell ref="B39:D39"/>
    <mergeCell ref="E39:G39"/>
    <mergeCell ref="H39:J39"/>
    <mergeCell ref="K39:M39"/>
    <mergeCell ref="B36:D36"/>
    <mergeCell ref="E36:G36"/>
    <mergeCell ref="H36:J36"/>
    <mergeCell ref="K36:M36"/>
    <mergeCell ref="B37:D37"/>
    <mergeCell ref="E37:G37"/>
    <mergeCell ref="H37:J37"/>
    <mergeCell ref="K37:M37"/>
    <mergeCell ref="B34:D34"/>
    <mergeCell ref="E34:G34"/>
    <mergeCell ref="H34:J34"/>
    <mergeCell ref="K34:M34"/>
    <mergeCell ref="B35:D35"/>
    <mergeCell ref="E35:G35"/>
    <mergeCell ref="H35:J35"/>
    <mergeCell ref="K35:M35"/>
    <mergeCell ref="B32:D32"/>
    <mergeCell ref="E32:G32"/>
    <mergeCell ref="H32:J32"/>
    <mergeCell ref="K32:M32"/>
    <mergeCell ref="B33:D33"/>
    <mergeCell ref="E33:G33"/>
    <mergeCell ref="H33:J33"/>
    <mergeCell ref="K33:M33"/>
    <mergeCell ref="B27:H27"/>
    <mergeCell ref="I27:K27"/>
    <mergeCell ref="L27:N27"/>
    <mergeCell ref="B29:N29"/>
    <mergeCell ref="B31:D31"/>
    <mergeCell ref="E31:G31"/>
    <mergeCell ref="H31:J31"/>
    <mergeCell ref="K31:M31"/>
    <mergeCell ref="B25:H25"/>
    <mergeCell ref="I25:K25"/>
    <mergeCell ref="L25:N25"/>
    <mergeCell ref="B26:H26"/>
    <mergeCell ref="I26:K26"/>
    <mergeCell ref="L26:N26"/>
    <mergeCell ref="B23:H23"/>
    <mergeCell ref="I23:K23"/>
    <mergeCell ref="L23:M23"/>
    <mergeCell ref="B24:H24"/>
    <mergeCell ref="I24:K24"/>
    <mergeCell ref="L24:N24"/>
    <mergeCell ref="B15:D15"/>
    <mergeCell ref="B16:D16"/>
    <mergeCell ref="B17:D17"/>
    <mergeCell ref="B18:D18"/>
    <mergeCell ref="B19:D19"/>
    <mergeCell ref="B21:N21"/>
    <mergeCell ref="B11:D11"/>
    <mergeCell ref="E11:G11"/>
    <mergeCell ref="H11:I11"/>
    <mergeCell ref="J11:K11"/>
    <mergeCell ref="L11:N11"/>
    <mergeCell ref="B13:N13"/>
    <mergeCell ref="B9:N9"/>
    <mergeCell ref="B10:D10"/>
    <mergeCell ref="E10:G10"/>
    <mergeCell ref="H10:I10"/>
    <mergeCell ref="J10:K10"/>
    <mergeCell ref="L10:N10"/>
    <mergeCell ref="B6:C6"/>
    <mergeCell ref="D6:G6"/>
    <mergeCell ref="H6:I6"/>
    <mergeCell ref="J6:N6"/>
    <mergeCell ref="B7:G7"/>
    <mergeCell ref="H7:N7"/>
    <mergeCell ref="B2:N2"/>
    <mergeCell ref="B4:C4"/>
    <mergeCell ref="D4:G4"/>
    <mergeCell ref="H4:I4"/>
    <mergeCell ref="J4:N4"/>
    <mergeCell ref="B5:C5"/>
    <mergeCell ref="D5:G5"/>
    <mergeCell ref="H5:I5"/>
    <mergeCell ref="J5:N5"/>
  </mergeCells>
  <pageMargins left="4.1666666666666666E-3" right="4.1666666666666666E-3" top="4.1666666666666666E-3" bottom="4.1666666666666666E-3" header="1.3888888888888889E-3" footer="1.3888888888888889E-3"/>
  <pageSetup scale="64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7"/>
  <sheetViews>
    <sheetView showGridLines="0" zoomScaleNormal="100" workbookViewId="0">
      <selection activeCell="C5" sqref="C5"/>
    </sheetView>
  </sheetViews>
  <sheetFormatPr defaultColWidth="8.7109375" defaultRowHeight="15" x14ac:dyDescent="0.25"/>
  <cols>
    <col min="1" max="1" width="4" customWidth="1"/>
    <col min="2" max="2" width="20" customWidth="1"/>
    <col min="3" max="7" width="16" customWidth="1"/>
    <col min="8" max="8" width="3" customWidth="1"/>
    <col min="9" max="9" width="103.42578125" customWidth="1"/>
  </cols>
  <sheetData>
    <row r="1" spans="2:7" ht="7.5" customHeight="1" x14ac:dyDescent="0.25"/>
    <row r="2" spans="2:7" ht="37.5" customHeight="1" x14ac:dyDescent="0.25">
      <c r="B2" s="410" t="s">
        <v>148</v>
      </c>
      <c r="C2" s="410"/>
      <c r="D2" s="410"/>
      <c r="E2" s="410"/>
      <c r="F2" s="410"/>
      <c r="G2" s="410"/>
    </row>
    <row r="3" spans="2:7" ht="7.5" customHeight="1" x14ac:dyDescent="0.25"/>
    <row r="4" spans="2:7" ht="30" customHeight="1" x14ac:dyDescent="0.25">
      <c r="B4" s="32" t="s">
        <v>149</v>
      </c>
      <c r="C4" s="32" t="s">
        <v>150</v>
      </c>
      <c r="D4" s="32" t="s">
        <v>151</v>
      </c>
      <c r="E4" s="32" t="s">
        <v>152</v>
      </c>
      <c r="F4" s="32" t="s">
        <v>153</v>
      </c>
      <c r="G4" s="32" t="s">
        <v>154</v>
      </c>
    </row>
    <row r="5" spans="2:7" ht="15" customHeight="1" x14ac:dyDescent="0.25">
      <c r="B5" s="33">
        <v>46111</v>
      </c>
      <c r="C5" s="34">
        <v>843.25</v>
      </c>
      <c r="D5" s="35">
        <f>'Weekly Timesheet'!I9</f>
        <v>0</v>
      </c>
      <c r="E5" s="36">
        <f>'Weekly Timesheet'!N29</f>
        <v>20</v>
      </c>
      <c r="F5" s="37">
        <f>C5+D5-E5</f>
        <v>823.25</v>
      </c>
      <c r="G5" s="38" t="s">
        <v>155</v>
      </c>
    </row>
    <row r="6" spans="2:7" ht="7.5" customHeight="1" x14ac:dyDescent="0.25"/>
    <row r="7" spans="2:7" ht="36" customHeight="1" x14ac:dyDescent="0.25">
      <c r="B7" s="411" t="s">
        <v>156</v>
      </c>
      <c r="C7" s="411"/>
      <c r="D7" s="411"/>
      <c r="E7" s="411"/>
      <c r="F7" s="411"/>
      <c r="G7" s="411"/>
    </row>
  </sheetData>
  <mergeCells count="2">
    <mergeCell ref="B2:G2"/>
    <mergeCell ref="B7:G7"/>
  </mergeCells>
  <dataValidations count="1">
    <dataValidation type="date" operator="greaterThanOrEqual" allowBlank="1" showInputMessage="1" promptTitle="Select Date" prompt="Enter the Monday start date for this week (YYYY-MM-DD)." sqref="B5:B20" xr:uid="{00000000-0002-0000-0300-000000000000}">
      <formula1>DATE(2020,1,1)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26"/>
  <sheetViews>
    <sheetView showGridLines="0" topLeftCell="A3" zoomScaleNormal="100" workbookViewId="0">
      <selection activeCell="I27" sqref="I27"/>
    </sheetView>
  </sheetViews>
  <sheetFormatPr defaultColWidth="8.7109375" defaultRowHeight="15" x14ac:dyDescent="0.25"/>
  <cols>
    <col min="1" max="1" width="3" customWidth="1"/>
    <col min="2" max="2" width="22" customWidth="1"/>
    <col min="3" max="3" width="26" customWidth="1"/>
    <col min="4" max="5" width="18" customWidth="1"/>
    <col min="6" max="7" width="16" customWidth="1"/>
  </cols>
  <sheetData>
    <row r="1" spans="2:7" ht="7.5" customHeight="1" x14ac:dyDescent="0.25"/>
    <row r="2" spans="2:7" ht="33.75" customHeight="1" x14ac:dyDescent="0.25">
      <c r="B2" s="135" t="s">
        <v>157</v>
      </c>
      <c r="C2" s="135"/>
      <c r="D2" s="135"/>
      <c r="E2" s="135"/>
      <c r="F2" s="135"/>
      <c r="G2" s="135"/>
    </row>
    <row r="3" spans="2:7" ht="7.5" customHeight="1" x14ac:dyDescent="0.25"/>
    <row r="4" spans="2:7" ht="21.75" customHeight="1" x14ac:dyDescent="0.25">
      <c r="B4" s="133" t="s">
        <v>158</v>
      </c>
      <c r="C4" s="133"/>
      <c r="D4" s="133"/>
      <c r="E4" s="133"/>
      <c r="F4" s="133"/>
      <c r="G4" s="133"/>
    </row>
    <row r="5" spans="2:7" ht="30" customHeight="1" x14ac:dyDescent="0.25">
      <c r="B5" s="39" t="s">
        <v>159</v>
      </c>
      <c r="C5" s="39" t="s">
        <v>160</v>
      </c>
      <c r="D5" s="39" t="s">
        <v>161</v>
      </c>
      <c r="E5" s="136" t="s">
        <v>162</v>
      </c>
      <c r="F5" s="136"/>
      <c r="G5" s="136"/>
    </row>
    <row r="6" spans="2:7" ht="19.5" customHeight="1" x14ac:dyDescent="0.25">
      <c r="B6" s="40" t="s">
        <v>163</v>
      </c>
      <c r="C6" s="41">
        <v>120</v>
      </c>
      <c r="D6" s="41">
        <v>15</v>
      </c>
      <c r="E6" s="131"/>
      <c r="F6" s="131"/>
      <c r="G6" s="131"/>
    </row>
    <row r="7" spans="2:7" ht="19.5" customHeight="1" x14ac:dyDescent="0.25">
      <c r="B7" s="42" t="s">
        <v>164</v>
      </c>
      <c r="C7" s="43">
        <v>200</v>
      </c>
      <c r="D7" s="43">
        <f>C7/8</f>
        <v>25</v>
      </c>
      <c r="E7" s="132"/>
      <c r="F7" s="132"/>
      <c r="G7" s="132"/>
    </row>
    <row r="8" spans="2:7" ht="19.5" customHeight="1" x14ac:dyDescent="0.25">
      <c r="B8" s="40" t="s">
        <v>165</v>
      </c>
      <c r="C8" s="41">
        <v>200</v>
      </c>
      <c r="D8" s="41">
        <f t="shared" ref="D8:D9" si="0">C8/8</f>
        <v>25</v>
      </c>
      <c r="E8" s="131"/>
      <c r="F8" s="131"/>
      <c r="G8" s="131"/>
    </row>
    <row r="9" spans="2:7" ht="19.5" customHeight="1" x14ac:dyDescent="0.25">
      <c r="B9" s="42" t="s">
        <v>223</v>
      </c>
      <c r="C9" s="43">
        <v>160</v>
      </c>
      <c r="D9" s="43">
        <f t="shared" si="0"/>
        <v>20</v>
      </c>
      <c r="E9" s="132"/>
      <c r="F9" s="132"/>
      <c r="G9" s="132"/>
    </row>
    <row r="10" spans="2:7" ht="9.75" customHeight="1" x14ac:dyDescent="0.25"/>
    <row r="11" spans="2:7" ht="21.75" customHeight="1" x14ac:dyDescent="0.25">
      <c r="B11" s="133" t="s">
        <v>166</v>
      </c>
      <c r="C11" s="133"/>
      <c r="D11" s="133"/>
      <c r="E11" s="133"/>
      <c r="F11" s="133"/>
      <c r="G11" s="133"/>
    </row>
    <row r="12" spans="2:7" ht="27.75" customHeight="1" x14ac:dyDescent="0.25">
      <c r="B12" s="39" t="s">
        <v>149</v>
      </c>
      <c r="C12" s="39" t="s">
        <v>167</v>
      </c>
      <c r="D12" s="39" t="s">
        <v>168</v>
      </c>
      <c r="E12" s="39" t="s">
        <v>169</v>
      </c>
      <c r="F12" s="39" t="s">
        <v>154</v>
      </c>
      <c r="G12" s="39" t="s">
        <v>162</v>
      </c>
    </row>
    <row r="13" spans="2:7" ht="21.75" customHeight="1" x14ac:dyDescent="0.25">
      <c r="B13" s="44">
        <v>46104</v>
      </c>
      <c r="C13" s="45">
        <v>48</v>
      </c>
      <c r="D13" s="46">
        <f>'Weekly Timesheet'!I10</f>
        <v>0</v>
      </c>
      <c r="E13" s="47">
        <f t="shared" ref="E13:E24" si="1">IF(C13="","",C13-D13)</f>
        <v>48</v>
      </c>
      <c r="F13" s="48"/>
      <c r="G13" s="11"/>
    </row>
    <row r="14" spans="2:7" ht="19.5" customHeight="1" x14ac:dyDescent="0.25">
      <c r="B14" s="11"/>
      <c r="C14" s="45"/>
      <c r="D14" s="46"/>
      <c r="E14" s="46" t="str">
        <f t="shared" si="1"/>
        <v/>
      </c>
      <c r="F14" s="11"/>
      <c r="G14" s="11"/>
    </row>
    <row r="15" spans="2:7" ht="19.5" customHeight="1" x14ac:dyDescent="0.25">
      <c r="B15" s="11"/>
      <c r="C15" s="45"/>
      <c r="D15" s="49"/>
      <c r="E15" s="49" t="str">
        <f t="shared" si="1"/>
        <v/>
      </c>
      <c r="F15" s="11"/>
      <c r="G15" s="11"/>
    </row>
    <row r="16" spans="2:7" ht="19.5" customHeight="1" x14ac:dyDescent="0.25">
      <c r="B16" s="11"/>
      <c r="C16" s="45"/>
      <c r="D16" s="46"/>
      <c r="E16" s="46" t="str">
        <f t="shared" si="1"/>
        <v/>
      </c>
      <c r="F16" s="11"/>
      <c r="G16" s="11"/>
    </row>
    <row r="17" spans="2:7" ht="19.5" customHeight="1" x14ac:dyDescent="0.25">
      <c r="B17" s="11"/>
      <c r="C17" s="45"/>
      <c r="D17" s="49"/>
      <c r="E17" s="49" t="str">
        <f t="shared" si="1"/>
        <v/>
      </c>
      <c r="F17" s="11"/>
      <c r="G17" s="11"/>
    </row>
    <row r="18" spans="2:7" ht="19.5" customHeight="1" x14ac:dyDescent="0.25">
      <c r="B18" s="11"/>
      <c r="C18" s="45"/>
      <c r="D18" s="46"/>
      <c r="E18" s="46" t="str">
        <f t="shared" si="1"/>
        <v/>
      </c>
      <c r="F18" s="11"/>
      <c r="G18" s="11"/>
    </row>
    <row r="19" spans="2:7" ht="19.5" customHeight="1" x14ac:dyDescent="0.25">
      <c r="B19" s="11"/>
      <c r="C19" s="45"/>
      <c r="D19" s="49"/>
      <c r="E19" s="49" t="str">
        <f t="shared" si="1"/>
        <v/>
      </c>
      <c r="F19" s="11"/>
      <c r="G19" s="11"/>
    </row>
    <row r="20" spans="2:7" ht="19.5" customHeight="1" x14ac:dyDescent="0.25">
      <c r="B20" s="11"/>
      <c r="C20" s="45"/>
      <c r="D20" s="46"/>
      <c r="E20" s="46" t="str">
        <f t="shared" si="1"/>
        <v/>
      </c>
      <c r="F20" s="11"/>
      <c r="G20" s="11"/>
    </row>
    <row r="21" spans="2:7" ht="19.5" customHeight="1" x14ac:dyDescent="0.25">
      <c r="B21" s="11"/>
      <c r="C21" s="45"/>
      <c r="D21" s="49"/>
      <c r="E21" s="49" t="str">
        <f t="shared" si="1"/>
        <v/>
      </c>
      <c r="F21" s="11"/>
      <c r="G21" s="11"/>
    </row>
    <row r="22" spans="2:7" ht="19.5" customHeight="1" x14ac:dyDescent="0.25">
      <c r="B22" s="11"/>
      <c r="C22" s="45"/>
      <c r="D22" s="46"/>
      <c r="E22" s="46" t="str">
        <f t="shared" si="1"/>
        <v/>
      </c>
      <c r="F22" s="11"/>
      <c r="G22" s="11"/>
    </row>
    <row r="23" spans="2:7" ht="19.5" customHeight="1" x14ac:dyDescent="0.25">
      <c r="B23" s="11"/>
      <c r="C23" s="45"/>
      <c r="D23" s="49"/>
      <c r="E23" s="49" t="str">
        <f t="shared" si="1"/>
        <v/>
      </c>
      <c r="F23" s="11"/>
      <c r="G23" s="11"/>
    </row>
    <row r="24" spans="2:7" ht="19.5" customHeight="1" x14ac:dyDescent="0.25">
      <c r="B24" s="11"/>
      <c r="C24" s="45"/>
      <c r="D24" s="46"/>
      <c r="E24" s="46" t="str">
        <f t="shared" si="1"/>
        <v/>
      </c>
      <c r="F24" s="11"/>
      <c r="G24" s="11"/>
    </row>
    <row r="26" spans="2:7" ht="21.75" customHeight="1" x14ac:dyDescent="0.25">
      <c r="B26" s="134" t="s">
        <v>170</v>
      </c>
      <c r="C26" s="134"/>
      <c r="D26" s="134"/>
      <c r="E26" s="134"/>
      <c r="F26" s="134"/>
      <c r="G26" s="134"/>
    </row>
  </sheetData>
  <mergeCells count="9">
    <mergeCell ref="E8:G8"/>
    <mergeCell ref="E9:G9"/>
    <mergeCell ref="B11:G11"/>
    <mergeCell ref="B26:G26"/>
    <mergeCell ref="B2:G2"/>
    <mergeCell ref="B4:G4"/>
    <mergeCell ref="E5:G5"/>
    <mergeCell ref="E6:G6"/>
    <mergeCell ref="E7:G7"/>
  </mergeCells>
  <dataValidations count="1">
    <dataValidation type="date" operator="greaterThanOrEqual" allowBlank="1" showInputMessage="1" promptTitle="Select Date" prompt="Enter the Monday date for this week (YYYY-MM-DD)." sqref="B13:B24" xr:uid="{00000000-0002-0000-0400-000000000000}">
      <formula1>DATE(2020,1,1)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106"/>
  <sheetViews>
    <sheetView showGridLines="0" zoomScaleNormal="100" workbookViewId="0">
      <selection activeCell="H5" sqref="H5"/>
    </sheetView>
  </sheetViews>
  <sheetFormatPr defaultColWidth="8.7109375" defaultRowHeight="15" x14ac:dyDescent="0.25"/>
  <cols>
    <col min="1" max="1" width="4" customWidth="1"/>
    <col min="2" max="2" width="6" customWidth="1"/>
    <col min="3" max="3" width="20" customWidth="1"/>
    <col min="4" max="4" width="14" customWidth="1"/>
    <col min="5" max="5" width="16" customWidth="1"/>
    <col min="6" max="6" width="14" customWidth="1"/>
    <col min="7" max="7" width="16" customWidth="1"/>
    <col min="8" max="8" width="20" customWidth="1"/>
    <col min="9" max="9" width="35" customWidth="1"/>
    <col min="10" max="10" width="18.42578125" customWidth="1"/>
  </cols>
  <sheetData>
    <row r="1" spans="2:10" ht="7.5" customHeight="1" x14ac:dyDescent="0.25"/>
    <row r="2" spans="2:10" ht="37.5" customHeight="1" x14ac:dyDescent="0.25">
      <c r="B2" s="138" t="s">
        <v>171</v>
      </c>
      <c r="C2" s="138"/>
      <c r="D2" s="138"/>
      <c r="E2" s="138"/>
      <c r="F2" s="138"/>
      <c r="G2" s="138"/>
      <c r="H2" s="138"/>
      <c r="I2" s="138"/>
    </row>
    <row r="3" spans="2:10" ht="7.5" customHeight="1" x14ac:dyDescent="0.25"/>
    <row r="4" spans="2:10" ht="30" customHeight="1" x14ac:dyDescent="0.25">
      <c r="B4" s="32" t="s">
        <v>145</v>
      </c>
      <c r="C4" s="32" t="s">
        <v>172</v>
      </c>
      <c r="D4" s="32" t="s">
        <v>173</v>
      </c>
      <c r="E4" s="32" t="s">
        <v>149</v>
      </c>
      <c r="F4" s="32" t="s">
        <v>174</v>
      </c>
      <c r="G4" s="32" t="s">
        <v>175</v>
      </c>
      <c r="H4" s="32" t="s">
        <v>176</v>
      </c>
      <c r="I4" s="32" t="s">
        <v>177</v>
      </c>
      <c r="J4" s="32" t="s">
        <v>178</v>
      </c>
    </row>
    <row r="5" spans="2:10" ht="19.5" customHeight="1" x14ac:dyDescent="0.25">
      <c r="B5" s="50">
        <v>1</v>
      </c>
      <c r="C5" s="38"/>
      <c r="D5" s="38"/>
      <c r="E5" s="33"/>
      <c r="F5" s="33"/>
      <c r="G5" s="38"/>
      <c r="H5" s="38"/>
      <c r="I5" s="33"/>
      <c r="J5" s="51"/>
    </row>
    <row r="6" spans="2:10" ht="19.5" customHeight="1" x14ac:dyDescent="0.25">
      <c r="B6" s="52">
        <v>2</v>
      </c>
      <c r="C6" s="53"/>
      <c r="D6" s="53"/>
      <c r="E6" s="54"/>
      <c r="F6" s="54"/>
      <c r="G6" s="53"/>
      <c r="H6" s="53"/>
      <c r="I6" s="54"/>
      <c r="J6" s="2"/>
    </row>
    <row r="7" spans="2:10" ht="19.5" customHeight="1" x14ac:dyDescent="0.25">
      <c r="B7" s="50">
        <v>3</v>
      </c>
      <c r="C7" s="38"/>
      <c r="D7" s="38"/>
      <c r="E7" s="33"/>
      <c r="F7" s="33"/>
      <c r="G7" s="38"/>
      <c r="H7" s="38"/>
      <c r="I7" s="33"/>
      <c r="J7" s="51"/>
    </row>
    <row r="8" spans="2:10" ht="19.5" customHeight="1" x14ac:dyDescent="0.25">
      <c r="B8" s="52">
        <v>4</v>
      </c>
      <c r="C8" s="53"/>
      <c r="D8" s="53"/>
      <c r="E8" s="54"/>
      <c r="F8" s="54"/>
      <c r="G8" s="53"/>
      <c r="H8" s="53"/>
      <c r="I8" s="54"/>
      <c r="J8" s="2"/>
    </row>
    <row r="9" spans="2:10" ht="19.5" customHeight="1" x14ac:dyDescent="0.25">
      <c r="B9" s="50">
        <v>5</v>
      </c>
      <c r="C9" s="38"/>
      <c r="D9" s="38"/>
      <c r="E9" s="33"/>
      <c r="F9" s="33"/>
      <c r="G9" s="38"/>
      <c r="H9" s="38"/>
      <c r="I9" s="33"/>
      <c r="J9" s="51"/>
    </row>
    <row r="10" spans="2:10" ht="19.5" customHeight="1" x14ac:dyDescent="0.25">
      <c r="B10" s="52">
        <v>6</v>
      </c>
      <c r="C10" s="53"/>
      <c r="D10" s="53"/>
      <c r="E10" s="54"/>
      <c r="F10" s="54"/>
      <c r="G10" s="53"/>
      <c r="H10" s="53"/>
      <c r="I10" s="54"/>
      <c r="J10" s="2"/>
    </row>
    <row r="11" spans="2:10" ht="19.5" customHeight="1" x14ac:dyDescent="0.25">
      <c r="B11" s="50">
        <v>7</v>
      </c>
      <c r="C11" s="38"/>
      <c r="D11" s="38"/>
      <c r="E11" s="33"/>
      <c r="F11" s="33"/>
      <c r="G11" s="38"/>
      <c r="H11" s="38"/>
      <c r="I11" s="33"/>
      <c r="J11" s="51"/>
    </row>
    <row r="12" spans="2:10" ht="19.5" customHeight="1" x14ac:dyDescent="0.25">
      <c r="B12" s="52">
        <v>8</v>
      </c>
      <c r="C12" s="53"/>
      <c r="D12" s="53"/>
      <c r="E12" s="54"/>
      <c r="F12" s="54"/>
      <c r="G12" s="53"/>
      <c r="H12" s="53"/>
      <c r="I12" s="54"/>
      <c r="J12" s="2"/>
    </row>
    <row r="13" spans="2:10" ht="19.5" customHeight="1" x14ac:dyDescent="0.25">
      <c r="B13" s="50">
        <v>9</v>
      </c>
      <c r="C13" s="38"/>
      <c r="D13" s="38"/>
      <c r="E13" s="33"/>
      <c r="F13" s="33"/>
      <c r="G13" s="38"/>
      <c r="H13" s="38"/>
      <c r="I13" s="33"/>
      <c r="J13" s="51"/>
    </row>
    <row r="14" spans="2:10" ht="19.5" customHeight="1" x14ac:dyDescent="0.25">
      <c r="B14" s="52">
        <v>10</v>
      </c>
      <c r="C14" s="53"/>
      <c r="D14" s="53"/>
      <c r="E14" s="54"/>
      <c r="F14" s="54"/>
      <c r="G14" s="53"/>
      <c r="H14" s="53"/>
      <c r="I14" s="54"/>
      <c r="J14" s="2"/>
    </row>
    <row r="15" spans="2:10" ht="19.5" customHeight="1" x14ac:dyDescent="0.25">
      <c r="B15" s="50">
        <v>11</v>
      </c>
      <c r="C15" s="38"/>
      <c r="D15" s="38"/>
      <c r="E15" s="33"/>
      <c r="F15" s="33"/>
      <c r="G15" s="38"/>
      <c r="H15" s="38"/>
      <c r="I15" s="33"/>
      <c r="J15" s="51"/>
    </row>
    <row r="16" spans="2:10" ht="19.5" customHeight="1" x14ac:dyDescent="0.25">
      <c r="B16" s="52">
        <v>12</v>
      </c>
      <c r="C16" s="53"/>
      <c r="D16" s="53"/>
      <c r="E16" s="54"/>
      <c r="F16" s="54"/>
      <c r="G16" s="53"/>
      <c r="H16" s="53"/>
      <c r="I16" s="54"/>
      <c r="J16" s="2"/>
    </row>
    <row r="17" spans="2:10" ht="19.5" customHeight="1" x14ac:dyDescent="0.25">
      <c r="B17" s="50">
        <v>13</v>
      </c>
      <c r="C17" s="38"/>
      <c r="D17" s="38"/>
      <c r="E17" s="33"/>
      <c r="F17" s="33"/>
      <c r="G17" s="38"/>
      <c r="H17" s="38"/>
      <c r="I17" s="33"/>
      <c r="J17" s="51"/>
    </row>
    <row r="18" spans="2:10" ht="19.5" customHeight="1" x14ac:dyDescent="0.25">
      <c r="B18" s="52">
        <v>14</v>
      </c>
      <c r="C18" s="53"/>
      <c r="D18" s="53"/>
      <c r="E18" s="54"/>
      <c r="F18" s="54"/>
      <c r="G18" s="53"/>
      <c r="H18" s="53"/>
      <c r="I18" s="54"/>
      <c r="J18" s="2"/>
    </row>
    <row r="19" spans="2:10" ht="19.5" customHeight="1" x14ac:dyDescent="0.25">
      <c r="B19" s="50">
        <v>15</v>
      </c>
      <c r="C19" s="38"/>
      <c r="D19" s="38"/>
      <c r="E19" s="33"/>
      <c r="F19" s="33"/>
      <c r="G19" s="38"/>
      <c r="H19" s="38"/>
      <c r="I19" s="33"/>
      <c r="J19" s="51"/>
    </row>
    <row r="20" spans="2:10" ht="19.5" customHeight="1" x14ac:dyDescent="0.25">
      <c r="B20" s="52">
        <v>16</v>
      </c>
      <c r="C20" s="53"/>
      <c r="D20" s="53"/>
      <c r="E20" s="54"/>
      <c r="F20" s="54"/>
      <c r="G20" s="53"/>
      <c r="H20" s="53"/>
      <c r="I20" s="54"/>
      <c r="J20" s="2"/>
    </row>
    <row r="21" spans="2:10" ht="19.5" customHeight="1" x14ac:dyDescent="0.25">
      <c r="B21" s="50">
        <v>17</v>
      </c>
      <c r="C21" s="38"/>
      <c r="D21" s="38"/>
      <c r="E21" s="33"/>
      <c r="F21" s="33"/>
      <c r="G21" s="38"/>
      <c r="H21" s="38"/>
      <c r="I21" s="33"/>
      <c r="J21" s="51"/>
    </row>
    <row r="22" spans="2:10" ht="19.5" customHeight="1" x14ac:dyDescent="0.25">
      <c r="B22" s="52">
        <v>18</v>
      </c>
      <c r="C22" s="53"/>
      <c r="D22" s="53"/>
      <c r="E22" s="54"/>
      <c r="F22" s="54"/>
      <c r="G22" s="53"/>
      <c r="H22" s="53"/>
      <c r="I22" s="54"/>
      <c r="J22" s="2"/>
    </row>
    <row r="23" spans="2:10" ht="19.5" customHeight="1" x14ac:dyDescent="0.25">
      <c r="B23" s="50">
        <v>19</v>
      </c>
      <c r="C23" s="38"/>
      <c r="D23" s="38"/>
      <c r="E23" s="33"/>
      <c r="F23" s="33"/>
      <c r="G23" s="38"/>
      <c r="H23" s="38"/>
      <c r="I23" s="33"/>
      <c r="J23" s="51"/>
    </row>
    <row r="24" spans="2:10" ht="19.5" customHeight="1" x14ac:dyDescent="0.25">
      <c r="B24" s="52">
        <v>20</v>
      </c>
      <c r="C24" s="53"/>
      <c r="D24" s="53"/>
      <c r="E24" s="54"/>
      <c r="F24" s="54"/>
      <c r="G24" s="53"/>
      <c r="H24" s="53"/>
      <c r="I24" s="54"/>
      <c r="J24" s="2"/>
    </row>
    <row r="25" spans="2:10" ht="19.5" customHeight="1" x14ac:dyDescent="0.25">
      <c r="B25" s="50">
        <v>21</v>
      </c>
      <c r="C25" s="38"/>
      <c r="D25" s="38"/>
      <c r="E25" s="33"/>
      <c r="F25" s="33"/>
      <c r="G25" s="38"/>
      <c r="H25" s="38"/>
      <c r="I25" s="33"/>
      <c r="J25" s="51"/>
    </row>
    <row r="26" spans="2:10" ht="19.5" customHeight="1" x14ac:dyDescent="0.25">
      <c r="B26" s="52">
        <v>22</v>
      </c>
      <c r="C26" s="53"/>
      <c r="D26" s="53"/>
      <c r="E26" s="54"/>
      <c r="F26" s="54"/>
      <c r="G26" s="53"/>
      <c r="H26" s="53"/>
      <c r="I26" s="54"/>
      <c r="J26" s="2"/>
    </row>
    <row r="27" spans="2:10" ht="19.5" customHeight="1" x14ac:dyDescent="0.25">
      <c r="B27" s="50">
        <v>23</v>
      </c>
      <c r="C27" s="38"/>
      <c r="D27" s="38"/>
      <c r="E27" s="33"/>
      <c r="F27" s="33"/>
      <c r="G27" s="38"/>
      <c r="H27" s="38"/>
      <c r="I27" s="33"/>
      <c r="J27" s="51"/>
    </row>
    <row r="28" spans="2:10" ht="19.5" customHeight="1" x14ac:dyDescent="0.25">
      <c r="B28" s="52">
        <v>24</v>
      </c>
      <c r="C28" s="53"/>
      <c r="D28" s="53"/>
      <c r="E28" s="54"/>
      <c r="F28" s="54"/>
      <c r="G28" s="53"/>
      <c r="H28" s="53"/>
      <c r="I28" s="54"/>
      <c r="J28" s="2"/>
    </row>
    <row r="29" spans="2:10" ht="19.5" customHeight="1" x14ac:dyDescent="0.25">
      <c r="B29" s="50">
        <v>25</v>
      </c>
      <c r="C29" s="38"/>
      <c r="D29" s="38"/>
      <c r="E29" s="33"/>
      <c r="F29" s="33"/>
      <c r="G29" s="38"/>
      <c r="H29" s="38"/>
      <c r="I29" s="33"/>
      <c r="J29" s="51"/>
    </row>
    <row r="30" spans="2:10" ht="19.5" customHeight="1" x14ac:dyDescent="0.25">
      <c r="B30" s="52">
        <v>26</v>
      </c>
      <c r="C30" s="53"/>
      <c r="D30" s="53"/>
      <c r="E30" s="54"/>
      <c r="F30" s="54"/>
      <c r="G30" s="53"/>
      <c r="H30" s="53"/>
      <c r="I30" s="54"/>
      <c r="J30" s="2"/>
    </row>
    <row r="31" spans="2:10" ht="19.5" customHeight="1" x14ac:dyDescent="0.25">
      <c r="B31" s="50">
        <v>27</v>
      </c>
      <c r="C31" s="38"/>
      <c r="D31" s="38"/>
      <c r="E31" s="33"/>
      <c r="F31" s="33"/>
      <c r="G31" s="38"/>
      <c r="H31" s="38"/>
      <c r="I31" s="33"/>
      <c r="J31" s="51"/>
    </row>
    <row r="32" spans="2:10" ht="19.5" customHeight="1" x14ac:dyDescent="0.25">
      <c r="B32" s="52">
        <v>28</v>
      </c>
      <c r="C32" s="53"/>
      <c r="D32" s="53"/>
      <c r="E32" s="54"/>
      <c r="F32" s="54"/>
      <c r="G32" s="53"/>
      <c r="H32" s="53"/>
      <c r="I32" s="54"/>
      <c r="J32" s="2"/>
    </row>
    <row r="33" spans="2:10" ht="19.5" customHeight="1" x14ac:dyDescent="0.25">
      <c r="B33" s="50">
        <v>29</v>
      </c>
      <c r="C33" s="38"/>
      <c r="D33" s="38"/>
      <c r="E33" s="33"/>
      <c r="F33" s="33"/>
      <c r="G33" s="38"/>
      <c r="H33" s="38"/>
      <c r="I33" s="33"/>
      <c r="J33" s="51"/>
    </row>
    <row r="34" spans="2:10" ht="19.5" customHeight="1" x14ac:dyDescent="0.25">
      <c r="B34" s="52">
        <v>30</v>
      </c>
      <c r="C34" s="53"/>
      <c r="D34" s="53"/>
      <c r="E34" s="54"/>
      <c r="F34" s="54"/>
      <c r="G34" s="53"/>
      <c r="H34" s="53"/>
      <c r="I34" s="54"/>
      <c r="J34" s="2"/>
    </row>
    <row r="35" spans="2:10" ht="19.5" customHeight="1" x14ac:dyDescent="0.25">
      <c r="B35" s="50">
        <v>31</v>
      </c>
      <c r="C35" s="38"/>
      <c r="D35" s="38"/>
      <c r="E35" s="33"/>
      <c r="F35" s="33"/>
      <c r="G35" s="38"/>
      <c r="H35" s="38"/>
      <c r="I35" s="33"/>
      <c r="J35" s="51"/>
    </row>
    <row r="36" spans="2:10" ht="19.5" customHeight="1" x14ac:dyDescent="0.25">
      <c r="B36" s="52">
        <v>32</v>
      </c>
      <c r="C36" s="53"/>
      <c r="D36" s="53"/>
      <c r="E36" s="54"/>
      <c r="F36" s="54"/>
      <c r="G36" s="53"/>
      <c r="H36" s="53"/>
      <c r="I36" s="54"/>
      <c r="J36" s="2"/>
    </row>
    <row r="37" spans="2:10" ht="19.5" customHeight="1" x14ac:dyDescent="0.25">
      <c r="B37" s="50">
        <v>33</v>
      </c>
      <c r="C37" s="38"/>
      <c r="D37" s="38"/>
      <c r="E37" s="33"/>
      <c r="F37" s="33"/>
      <c r="G37" s="38"/>
      <c r="H37" s="38"/>
      <c r="I37" s="33"/>
      <c r="J37" s="51"/>
    </row>
    <row r="38" spans="2:10" ht="19.5" customHeight="1" x14ac:dyDescent="0.25">
      <c r="B38" s="52">
        <v>34</v>
      </c>
      <c r="C38" s="53"/>
      <c r="D38" s="53"/>
      <c r="E38" s="54"/>
      <c r="F38" s="54"/>
      <c r="G38" s="53"/>
      <c r="H38" s="53"/>
      <c r="I38" s="54"/>
      <c r="J38" s="2"/>
    </row>
    <row r="39" spans="2:10" ht="19.5" customHeight="1" x14ac:dyDescent="0.25">
      <c r="B39" s="50">
        <v>35</v>
      </c>
      <c r="C39" s="38"/>
      <c r="D39" s="38"/>
      <c r="E39" s="33"/>
      <c r="F39" s="33"/>
      <c r="G39" s="38"/>
      <c r="H39" s="38"/>
      <c r="I39" s="33"/>
      <c r="J39" s="51"/>
    </row>
    <row r="40" spans="2:10" ht="19.5" customHeight="1" x14ac:dyDescent="0.25">
      <c r="B40" s="52">
        <v>36</v>
      </c>
      <c r="C40" s="53"/>
      <c r="D40" s="53"/>
      <c r="E40" s="54"/>
      <c r="F40" s="54"/>
      <c r="G40" s="53"/>
      <c r="H40" s="53"/>
      <c r="I40" s="54"/>
      <c r="J40" s="2"/>
    </row>
    <row r="41" spans="2:10" ht="19.5" customHeight="1" x14ac:dyDescent="0.25">
      <c r="B41" s="50">
        <v>37</v>
      </c>
      <c r="C41" s="38"/>
      <c r="D41" s="38"/>
      <c r="E41" s="33"/>
      <c r="F41" s="33"/>
      <c r="G41" s="38"/>
      <c r="H41" s="38"/>
      <c r="I41" s="33"/>
      <c r="J41" s="51"/>
    </row>
    <row r="42" spans="2:10" ht="19.5" customHeight="1" x14ac:dyDescent="0.25">
      <c r="B42" s="52">
        <v>38</v>
      </c>
      <c r="C42" s="53"/>
      <c r="D42" s="53"/>
      <c r="E42" s="54"/>
      <c r="F42" s="54"/>
      <c r="G42" s="53"/>
      <c r="H42" s="53"/>
      <c r="I42" s="54"/>
      <c r="J42" s="2"/>
    </row>
    <row r="43" spans="2:10" ht="19.5" customHeight="1" x14ac:dyDescent="0.25">
      <c r="B43" s="50">
        <v>39</v>
      </c>
      <c r="C43" s="38"/>
      <c r="D43" s="38"/>
      <c r="E43" s="33"/>
      <c r="F43" s="33"/>
      <c r="G43" s="38"/>
      <c r="H43" s="38"/>
      <c r="I43" s="33"/>
      <c r="J43" s="51"/>
    </row>
    <row r="44" spans="2:10" ht="19.5" customHeight="1" x14ac:dyDescent="0.25">
      <c r="B44" s="52">
        <v>40</v>
      </c>
      <c r="C44" s="53"/>
      <c r="D44" s="53"/>
      <c r="E44" s="54"/>
      <c r="F44" s="54"/>
      <c r="G44" s="53"/>
      <c r="H44" s="53"/>
      <c r="I44" s="54"/>
      <c r="J44" s="2"/>
    </row>
    <row r="45" spans="2:10" ht="19.5" customHeight="1" x14ac:dyDescent="0.25">
      <c r="B45" s="50">
        <v>41</v>
      </c>
      <c r="C45" s="38"/>
      <c r="D45" s="38"/>
      <c r="E45" s="33"/>
      <c r="F45" s="33"/>
      <c r="G45" s="38"/>
      <c r="H45" s="38"/>
      <c r="I45" s="33"/>
      <c r="J45" s="51"/>
    </row>
    <row r="46" spans="2:10" ht="19.5" customHeight="1" x14ac:dyDescent="0.25">
      <c r="B46" s="52">
        <v>42</v>
      </c>
      <c r="C46" s="53"/>
      <c r="D46" s="53"/>
      <c r="E46" s="54"/>
      <c r="F46" s="54"/>
      <c r="G46" s="53"/>
      <c r="H46" s="53"/>
      <c r="I46" s="54"/>
      <c r="J46" s="2"/>
    </row>
    <row r="47" spans="2:10" ht="19.5" customHeight="1" x14ac:dyDescent="0.25">
      <c r="B47" s="50">
        <v>43</v>
      </c>
      <c r="C47" s="38"/>
      <c r="D47" s="38"/>
      <c r="E47" s="33"/>
      <c r="F47" s="33"/>
      <c r="G47" s="38"/>
      <c r="H47" s="38"/>
      <c r="I47" s="33"/>
      <c r="J47" s="51"/>
    </row>
    <row r="48" spans="2:10" ht="19.5" customHeight="1" x14ac:dyDescent="0.25">
      <c r="B48" s="52">
        <v>44</v>
      </c>
      <c r="C48" s="53"/>
      <c r="D48" s="53"/>
      <c r="E48" s="54"/>
      <c r="F48" s="54"/>
      <c r="G48" s="53"/>
      <c r="H48" s="53"/>
      <c r="I48" s="54"/>
      <c r="J48" s="2"/>
    </row>
    <row r="49" spans="2:10" ht="19.5" customHeight="1" x14ac:dyDescent="0.25">
      <c r="B49" s="50">
        <v>45</v>
      </c>
      <c r="C49" s="38"/>
      <c r="D49" s="38"/>
      <c r="E49" s="33"/>
      <c r="F49" s="33"/>
      <c r="G49" s="38"/>
      <c r="H49" s="38"/>
      <c r="I49" s="33"/>
      <c r="J49" s="51"/>
    </row>
    <row r="50" spans="2:10" ht="19.5" customHeight="1" x14ac:dyDescent="0.25">
      <c r="B50" s="52">
        <v>46</v>
      </c>
      <c r="C50" s="53"/>
      <c r="D50" s="53"/>
      <c r="E50" s="54"/>
      <c r="F50" s="54"/>
      <c r="G50" s="53"/>
      <c r="H50" s="53"/>
      <c r="I50" s="54"/>
      <c r="J50" s="2"/>
    </row>
    <row r="51" spans="2:10" ht="19.5" customHeight="1" x14ac:dyDescent="0.25">
      <c r="B51" s="50">
        <v>47</v>
      </c>
      <c r="C51" s="38"/>
      <c r="D51" s="38"/>
      <c r="E51" s="33"/>
      <c r="F51" s="33"/>
      <c r="G51" s="38"/>
      <c r="H51" s="38"/>
      <c r="I51" s="33"/>
      <c r="J51" s="51"/>
    </row>
    <row r="52" spans="2:10" ht="19.5" customHeight="1" x14ac:dyDescent="0.25">
      <c r="B52" s="52">
        <v>48</v>
      </c>
      <c r="C52" s="53"/>
      <c r="D52" s="53"/>
      <c r="E52" s="54"/>
      <c r="F52" s="54"/>
      <c r="G52" s="53"/>
      <c r="H52" s="53"/>
      <c r="I52" s="54"/>
      <c r="J52" s="2"/>
    </row>
    <row r="53" spans="2:10" ht="19.5" customHeight="1" x14ac:dyDescent="0.25">
      <c r="B53" s="50">
        <v>49</v>
      </c>
      <c r="C53" s="38"/>
      <c r="D53" s="38"/>
      <c r="E53" s="33"/>
      <c r="F53" s="33"/>
      <c r="G53" s="38"/>
      <c r="H53" s="38"/>
      <c r="I53" s="33"/>
      <c r="J53" s="51"/>
    </row>
    <row r="54" spans="2:10" ht="19.5" customHeight="1" x14ac:dyDescent="0.25">
      <c r="B54" s="52">
        <v>50</v>
      </c>
      <c r="C54" s="53"/>
      <c r="D54" s="53"/>
      <c r="E54" s="54"/>
      <c r="F54" s="54"/>
      <c r="G54" s="53"/>
      <c r="H54" s="53"/>
      <c r="I54" s="54"/>
      <c r="J54" s="2"/>
    </row>
    <row r="55" spans="2:10" ht="19.5" customHeight="1" x14ac:dyDescent="0.25">
      <c r="B55" s="50">
        <v>51</v>
      </c>
      <c r="C55" s="38"/>
      <c r="D55" s="38"/>
      <c r="E55" s="33"/>
      <c r="F55" s="33"/>
      <c r="G55" s="38"/>
      <c r="H55" s="38"/>
      <c r="I55" s="33"/>
      <c r="J55" s="51"/>
    </row>
    <row r="56" spans="2:10" ht="19.5" customHeight="1" x14ac:dyDescent="0.25">
      <c r="B56" s="52">
        <v>52</v>
      </c>
      <c r="C56" s="53"/>
      <c r="D56" s="53"/>
      <c r="E56" s="54"/>
      <c r="F56" s="54"/>
      <c r="G56" s="53"/>
      <c r="H56" s="53"/>
      <c r="I56" s="54"/>
      <c r="J56" s="2"/>
    </row>
    <row r="57" spans="2:10" ht="19.5" customHeight="1" x14ac:dyDescent="0.25">
      <c r="B57" s="50">
        <v>53</v>
      </c>
      <c r="C57" s="38"/>
      <c r="D57" s="38"/>
      <c r="E57" s="33"/>
      <c r="F57" s="33"/>
      <c r="G57" s="38"/>
      <c r="H57" s="38"/>
      <c r="I57" s="33"/>
      <c r="J57" s="51"/>
    </row>
    <row r="58" spans="2:10" ht="19.5" customHeight="1" x14ac:dyDescent="0.25">
      <c r="B58" s="52">
        <v>54</v>
      </c>
      <c r="C58" s="53"/>
      <c r="D58" s="53"/>
      <c r="E58" s="54"/>
      <c r="F58" s="54"/>
      <c r="G58" s="53"/>
      <c r="H58" s="53"/>
      <c r="I58" s="54"/>
      <c r="J58" s="2"/>
    </row>
    <row r="59" spans="2:10" ht="19.5" customHeight="1" x14ac:dyDescent="0.25">
      <c r="B59" s="50">
        <v>55</v>
      </c>
      <c r="C59" s="38"/>
      <c r="D59" s="38"/>
      <c r="E59" s="33"/>
      <c r="F59" s="33"/>
      <c r="G59" s="38"/>
      <c r="H59" s="38"/>
      <c r="I59" s="33"/>
      <c r="J59" s="51"/>
    </row>
    <row r="60" spans="2:10" ht="19.5" customHeight="1" x14ac:dyDescent="0.25">
      <c r="B60" s="52">
        <v>56</v>
      </c>
      <c r="C60" s="53"/>
      <c r="D60" s="53"/>
      <c r="E60" s="54"/>
      <c r="F60" s="54"/>
      <c r="G60" s="53"/>
      <c r="H60" s="53"/>
      <c r="I60" s="54"/>
      <c r="J60" s="2"/>
    </row>
    <row r="61" spans="2:10" ht="19.5" customHeight="1" x14ac:dyDescent="0.25">
      <c r="B61" s="50">
        <v>57</v>
      </c>
      <c r="C61" s="38"/>
      <c r="D61" s="38"/>
      <c r="E61" s="33"/>
      <c r="F61" s="33"/>
      <c r="G61" s="38"/>
      <c r="H61" s="38"/>
      <c r="I61" s="33"/>
      <c r="J61" s="51"/>
    </row>
    <row r="62" spans="2:10" ht="19.5" customHeight="1" x14ac:dyDescent="0.25">
      <c r="B62" s="52">
        <v>58</v>
      </c>
      <c r="C62" s="53"/>
      <c r="D62" s="53"/>
      <c r="E62" s="54"/>
      <c r="F62" s="54"/>
      <c r="G62" s="53"/>
      <c r="H62" s="53"/>
      <c r="I62" s="54"/>
      <c r="J62" s="2"/>
    </row>
    <row r="63" spans="2:10" ht="19.5" customHeight="1" x14ac:dyDescent="0.25">
      <c r="B63" s="50">
        <v>59</v>
      </c>
      <c r="C63" s="38"/>
      <c r="D63" s="38"/>
      <c r="E63" s="33"/>
      <c r="F63" s="33"/>
      <c r="G63" s="38"/>
      <c r="H63" s="38"/>
      <c r="I63" s="33"/>
      <c r="J63" s="51"/>
    </row>
    <row r="64" spans="2:10" ht="19.5" customHeight="1" x14ac:dyDescent="0.25">
      <c r="B64" s="52">
        <v>60</v>
      </c>
      <c r="C64" s="53"/>
      <c r="D64" s="53"/>
      <c r="E64" s="54"/>
      <c r="F64" s="54"/>
      <c r="G64" s="53"/>
      <c r="H64" s="53"/>
      <c r="I64" s="54"/>
      <c r="J64" s="2"/>
    </row>
    <row r="65" spans="2:10" ht="19.5" customHeight="1" x14ac:dyDescent="0.25">
      <c r="B65" s="50">
        <v>61</v>
      </c>
      <c r="C65" s="38"/>
      <c r="D65" s="38"/>
      <c r="E65" s="33"/>
      <c r="F65" s="33"/>
      <c r="G65" s="38"/>
      <c r="H65" s="38"/>
      <c r="I65" s="33"/>
      <c r="J65" s="51"/>
    </row>
    <row r="66" spans="2:10" ht="19.5" customHeight="1" x14ac:dyDescent="0.25">
      <c r="B66" s="52">
        <v>62</v>
      </c>
      <c r="C66" s="53"/>
      <c r="D66" s="53"/>
      <c r="E66" s="54"/>
      <c r="F66" s="54"/>
      <c r="G66" s="53"/>
      <c r="H66" s="53"/>
      <c r="I66" s="54"/>
      <c r="J66" s="2"/>
    </row>
    <row r="67" spans="2:10" ht="19.5" customHeight="1" x14ac:dyDescent="0.25">
      <c r="B67" s="50">
        <v>63</v>
      </c>
      <c r="C67" s="38"/>
      <c r="D67" s="38"/>
      <c r="E67" s="33"/>
      <c r="F67" s="33"/>
      <c r="G67" s="38"/>
      <c r="H67" s="38"/>
      <c r="I67" s="33"/>
      <c r="J67" s="51"/>
    </row>
    <row r="68" spans="2:10" ht="19.5" customHeight="1" x14ac:dyDescent="0.25">
      <c r="B68" s="52">
        <v>64</v>
      </c>
      <c r="C68" s="53"/>
      <c r="D68" s="53"/>
      <c r="E68" s="54"/>
      <c r="F68" s="54"/>
      <c r="G68" s="53"/>
      <c r="H68" s="53"/>
      <c r="I68" s="54"/>
      <c r="J68" s="2"/>
    </row>
    <row r="69" spans="2:10" ht="19.5" customHeight="1" x14ac:dyDescent="0.25">
      <c r="B69" s="50">
        <v>65</v>
      </c>
      <c r="C69" s="38"/>
      <c r="D69" s="38"/>
      <c r="E69" s="33"/>
      <c r="F69" s="33"/>
      <c r="G69" s="38"/>
      <c r="H69" s="38"/>
      <c r="I69" s="33"/>
      <c r="J69" s="51"/>
    </row>
    <row r="70" spans="2:10" ht="19.5" customHeight="1" x14ac:dyDescent="0.25">
      <c r="B70" s="52">
        <v>66</v>
      </c>
      <c r="C70" s="53"/>
      <c r="D70" s="53"/>
      <c r="E70" s="54"/>
      <c r="F70" s="54"/>
      <c r="G70" s="53"/>
      <c r="H70" s="53"/>
      <c r="I70" s="54"/>
      <c r="J70" s="2"/>
    </row>
    <row r="71" spans="2:10" ht="19.5" customHeight="1" x14ac:dyDescent="0.25">
      <c r="B71" s="50">
        <v>67</v>
      </c>
      <c r="C71" s="38"/>
      <c r="D71" s="38"/>
      <c r="E71" s="33"/>
      <c r="F71" s="33"/>
      <c r="G71" s="38"/>
      <c r="H71" s="38"/>
      <c r="I71" s="33"/>
      <c r="J71" s="51"/>
    </row>
    <row r="72" spans="2:10" ht="19.5" customHeight="1" x14ac:dyDescent="0.25">
      <c r="B72" s="52">
        <v>68</v>
      </c>
      <c r="C72" s="53"/>
      <c r="D72" s="53"/>
      <c r="E72" s="54"/>
      <c r="F72" s="54"/>
      <c r="G72" s="53"/>
      <c r="H72" s="53"/>
      <c r="I72" s="54"/>
      <c r="J72" s="2"/>
    </row>
    <row r="73" spans="2:10" ht="19.5" customHeight="1" x14ac:dyDescent="0.25">
      <c r="B73" s="50">
        <v>69</v>
      </c>
      <c r="C73" s="38"/>
      <c r="D73" s="38"/>
      <c r="E73" s="33"/>
      <c r="F73" s="33"/>
      <c r="G73" s="38"/>
      <c r="H73" s="38"/>
      <c r="I73" s="33"/>
      <c r="J73" s="51"/>
    </row>
    <row r="74" spans="2:10" ht="19.5" customHeight="1" x14ac:dyDescent="0.25">
      <c r="B74" s="52">
        <v>70</v>
      </c>
      <c r="C74" s="53"/>
      <c r="D74" s="53"/>
      <c r="E74" s="54"/>
      <c r="F74" s="54"/>
      <c r="G74" s="53"/>
      <c r="H74" s="53"/>
      <c r="I74" s="54"/>
      <c r="J74" s="2"/>
    </row>
    <row r="75" spans="2:10" ht="19.5" customHeight="1" x14ac:dyDescent="0.25">
      <c r="B75" s="50">
        <v>71</v>
      </c>
      <c r="C75" s="38"/>
      <c r="D75" s="38"/>
      <c r="E75" s="33"/>
      <c r="F75" s="33"/>
      <c r="G75" s="38"/>
      <c r="H75" s="38"/>
      <c r="I75" s="33"/>
      <c r="J75" s="51"/>
    </row>
    <row r="76" spans="2:10" ht="19.5" customHeight="1" x14ac:dyDescent="0.25">
      <c r="B76" s="52">
        <v>72</v>
      </c>
      <c r="C76" s="53"/>
      <c r="D76" s="53"/>
      <c r="E76" s="54"/>
      <c r="F76" s="54"/>
      <c r="G76" s="53"/>
      <c r="H76" s="53"/>
      <c r="I76" s="54"/>
      <c r="J76" s="2"/>
    </row>
    <row r="77" spans="2:10" ht="19.5" customHeight="1" x14ac:dyDescent="0.25">
      <c r="B77" s="50">
        <v>73</v>
      </c>
      <c r="C77" s="38"/>
      <c r="D77" s="38"/>
      <c r="E77" s="33"/>
      <c r="F77" s="33"/>
      <c r="G77" s="38"/>
      <c r="H77" s="38"/>
      <c r="I77" s="33"/>
      <c r="J77" s="51"/>
    </row>
    <row r="78" spans="2:10" ht="19.5" customHeight="1" x14ac:dyDescent="0.25">
      <c r="B78" s="52">
        <v>74</v>
      </c>
      <c r="C78" s="53"/>
      <c r="D78" s="53"/>
      <c r="E78" s="54"/>
      <c r="F78" s="54"/>
      <c r="G78" s="53"/>
      <c r="H78" s="53"/>
      <c r="I78" s="54"/>
      <c r="J78" s="2"/>
    </row>
    <row r="79" spans="2:10" ht="19.5" customHeight="1" x14ac:dyDescent="0.25">
      <c r="B79" s="50">
        <v>75</v>
      </c>
      <c r="C79" s="38"/>
      <c r="D79" s="38"/>
      <c r="E79" s="33"/>
      <c r="F79" s="33"/>
      <c r="G79" s="38"/>
      <c r="H79" s="38"/>
      <c r="I79" s="33"/>
      <c r="J79" s="51"/>
    </row>
    <row r="80" spans="2:10" ht="19.5" customHeight="1" x14ac:dyDescent="0.25">
      <c r="B80" s="52">
        <v>76</v>
      </c>
      <c r="C80" s="53"/>
      <c r="D80" s="53"/>
      <c r="E80" s="54"/>
      <c r="F80" s="54"/>
      <c r="G80" s="53"/>
      <c r="H80" s="53"/>
      <c r="I80" s="54"/>
      <c r="J80" s="2"/>
    </row>
    <row r="81" spans="2:10" ht="19.5" customHeight="1" x14ac:dyDescent="0.25">
      <c r="B81" s="50">
        <v>77</v>
      </c>
      <c r="C81" s="38"/>
      <c r="D81" s="38"/>
      <c r="E81" s="33"/>
      <c r="F81" s="33"/>
      <c r="G81" s="38"/>
      <c r="H81" s="38"/>
      <c r="I81" s="33"/>
      <c r="J81" s="51"/>
    </row>
    <row r="82" spans="2:10" ht="19.5" customHeight="1" x14ac:dyDescent="0.25">
      <c r="B82" s="52">
        <v>78</v>
      </c>
      <c r="C82" s="53"/>
      <c r="D82" s="53"/>
      <c r="E82" s="54"/>
      <c r="F82" s="54"/>
      <c r="G82" s="53"/>
      <c r="H82" s="53"/>
      <c r="I82" s="54"/>
      <c r="J82" s="2"/>
    </row>
    <row r="83" spans="2:10" ht="19.5" customHeight="1" x14ac:dyDescent="0.25">
      <c r="B83" s="50">
        <v>79</v>
      </c>
      <c r="C83" s="38"/>
      <c r="D83" s="38"/>
      <c r="E83" s="33"/>
      <c r="F83" s="33"/>
      <c r="G83" s="38"/>
      <c r="H83" s="38"/>
      <c r="I83" s="33"/>
      <c r="J83" s="51"/>
    </row>
    <row r="84" spans="2:10" ht="19.5" customHeight="1" x14ac:dyDescent="0.25">
      <c r="B84" s="52">
        <v>80</v>
      </c>
      <c r="C84" s="53"/>
      <c r="D84" s="53"/>
      <c r="E84" s="54"/>
      <c r="F84" s="54"/>
      <c r="G84" s="53"/>
      <c r="H84" s="53"/>
      <c r="I84" s="54"/>
      <c r="J84" s="2"/>
    </row>
    <row r="85" spans="2:10" ht="19.5" customHeight="1" x14ac:dyDescent="0.25">
      <c r="B85" s="50">
        <v>81</v>
      </c>
      <c r="C85" s="38"/>
      <c r="D85" s="38"/>
      <c r="E85" s="33"/>
      <c r="F85" s="33"/>
      <c r="G85" s="38"/>
      <c r="H85" s="38"/>
      <c r="I85" s="33"/>
      <c r="J85" s="51"/>
    </row>
    <row r="86" spans="2:10" ht="19.5" customHeight="1" x14ac:dyDescent="0.25">
      <c r="B86" s="52">
        <v>82</v>
      </c>
      <c r="C86" s="53"/>
      <c r="D86" s="53"/>
      <c r="E86" s="54"/>
      <c r="F86" s="54"/>
      <c r="G86" s="53"/>
      <c r="H86" s="53"/>
      <c r="I86" s="54"/>
      <c r="J86" s="2"/>
    </row>
    <row r="87" spans="2:10" ht="19.5" customHeight="1" x14ac:dyDescent="0.25">
      <c r="B87" s="50">
        <v>83</v>
      </c>
      <c r="C87" s="38"/>
      <c r="D87" s="38"/>
      <c r="E87" s="33"/>
      <c r="F87" s="33"/>
      <c r="G87" s="38"/>
      <c r="H87" s="38"/>
      <c r="I87" s="33"/>
      <c r="J87" s="51"/>
    </row>
    <row r="88" spans="2:10" ht="19.5" customHeight="1" x14ac:dyDescent="0.25">
      <c r="B88" s="52">
        <v>84</v>
      </c>
      <c r="C88" s="53"/>
      <c r="D88" s="53"/>
      <c r="E88" s="54"/>
      <c r="F88" s="54"/>
      <c r="G88" s="53"/>
      <c r="H88" s="53"/>
      <c r="I88" s="54"/>
      <c r="J88" s="2"/>
    </row>
    <row r="89" spans="2:10" ht="19.5" customHeight="1" x14ac:dyDescent="0.25">
      <c r="B89" s="50">
        <v>85</v>
      </c>
      <c r="C89" s="38"/>
      <c r="D89" s="38"/>
      <c r="E89" s="33"/>
      <c r="F89" s="33"/>
      <c r="G89" s="38"/>
      <c r="H89" s="38"/>
      <c r="I89" s="33"/>
      <c r="J89" s="51"/>
    </row>
    <row r="90" spans="2:10" ht="19.5" customHeight="1" x14ac:dyDescent="0.25">
      <c r="B90" s="52">
        <v>86</v>
      </c>
      <c r="C90" s="53"/>
      <c r="D90" s="53"/>
      <c r="E90" s="54"/>
      <c r="F90" s="54"/>
      <c r="G90" s="53"/>
      <c r="H90" s="53"/>
      <c r="I90" s="54"/>
      <c r="J90" s="2"/>
    </row>
    <row r="91" spans="2:10" ht="19.5" customHeight="1" x14ac:dyDescent="0.25">
      <c r="B91" s="50">
        <v>87</v>
      </c>
      <c r="C91" s="38"/>
      <c r="D91" s="38"/>
      <c r="E91" s="33"/>
      <c r="F91" s="33"/>
      <c r="G91" s="38"/>
      <c r="H91" s="38"/>
      <c r="I91" s="33"/>
      <c r="J91" s="51"/>
    </row>
    <row r="92" spans="2:10" ht="19.5" customHeight="1" x14ac:dyDescent="0.25">
      <c r="B92" s="52">
        <v>88</v>
      </c>
      <c r="C92" s="53"/>
      <c r="D92" s="53"/>
      <c r="E92" s="54"/>
      <c r="F92" s="54"/>
      <c r="G92" s="53"/>
      <c r="H92" s="53"/>
      <c r="I92" s="54"/>
      <c r="J92" s="2"/>
    </row>
    <row r="93" spans="2:10" ht="19.5" customHeight="1" x14ac:dyDescent="0.25">
      <c r="B93" s="50">
        <v>89</v>
      </c>
      <c r="C93" s="38"/>
      <c r="D93" s="38"/>
      <c r="E93" s="33"/>
      <c r="F93" s="33"/>
      <c r="G93" s="38"/>
      <c r="H93" s="38"/>
      <c r="I93" s="33"/>
      <c r="J93" s="51"/>
    </row>
    <row r="94" spans="2:10" ht="19.5" customHeight="1" x14ac:dyDescent="0.25">
      <c r="B94" s="52">
        <v>90</v>
      </c>
      <c r="C94" s="53"/>
      <c r="D94" s="53"/>
      <c r="E94" s="54"/>
      <c r="F94" s="54"/>
      <c r="G94" s="53"/>
      <c r="H94" s="53"/>
      <c r="I94" s="54"/>
      <c r="J94" s="2"/>
    </row>
    <row r="95" spans="2:10" ht="19.5" customHeight="1" x14ac:dyDescent="0.25">
      <c r="B95" s="50">
        <v>91</v>
      </c>
      <c r="C95" s="38"/>
      <c r="D95" s="38"/>
      <c r="E95" s="33"/>
      <c r="F95" s="33"/>
      <c r="G95" s="38"/>
      <c r="H95" s="38"/>
      <c r="I95" s="33"/>
      <c r="J95" s="51"/>
    </row>
    <row r="96" spans="2:10" ht="19.5" customHeight="1" x14ac:dyDescent="0.25">
      <c r="B96" s="52">
        <v>92</v>
      </c>
      <c r="C96" s="53"/>
      <c r="D96" s="53"/>
      <c r="E96" s="54"/>
      <c r="F96" s="54"/>
      <c r="G96" s="53"/>
      <c r="H96" s="53"/>
      <c r="I96" s="54"/>
      <c r="J96" s="2"/>
    </row>
    <row r="97" spans="2:10" ht="19.5" customHeight="1" x14ac:dyDescent="0.25">
      <c r="B97" s="50">
        <v>93</v>
      </c>
      <c r="C97" s="38"/>
      <c r="D97" s="38"/>
      <c r="E97" s="33"/>
      <c r="F97" s="33"/>
      <c r="G97" s="38"/>
      <c r="H97" s="38"/>
      <c r="I97" s="33"/>
      <c r="J97" s="51"/>
    </row>
    <row r="98" spans="2:10" ht="19.5" customHeight="1" x14ac:dyDescent="0.25">
      <c r="B98" s="52">
        <v>94</v>
      </c>
      <c r="C98" s="53"/>
      <c r="D98" s="53"/>
      <c r="E98" s="54"/>
      <c r="F98" s="54"/>
      <c r="G98" s="53"/>
      <c r="H98" s="53"/>
      <c r="I98" s="54"/>
      <c r="J98" s="2"/>
    </row>
    <row r="99" spans="2:10" ht="19.5" customHeight="1" x14ac:dyDescent="0.25">
      <c r="B99" s="50">
        <v>95</v>
      </c>
      <c r="C99" s="38"/>
      <c r="D99" s="38"/>
      <c r="E99" s="33"/>
      <c r="F99" s="33"/>
      <c r="G99" s="38"/>
      <c r="H99" s="38"/>
      <c r="I99" s="33"/>
      <c r="J99" s="51"/>
    </row>
    <row r="100" spans="2:10" ht="19.5" customHeight="1" x14ac:dyDescent="0.25">
      <c r="B100" s="52">
        <v>96</v>
      </c>
      <c r="C100" s="53"/>
      <c r="D100" s="53"/>
      <c r="E100" s="54"/>
      <c r="F100" s="54"/>
      <c r="G100" s="53"/>
      <c r="H100" s="53"/>
      <c r="I100" s="54"/>
      <c r="J100" s="2"/>
    </row>
    <row r="101" spans="2:10" ht="19.5" customHeight="1" x14ac:dyDescent="0.25">
      <c r="B101" s="50">
        <v>97</v>
      </c>
      <c r="C101" s="38"/>
      <c r="D101" s="38"/>
      <c r="E101" s="33"/>
      <c r="F101" s="33"/>
      <c r="G101" s="38"/>
      <c r="H101" s="38"/>
      <c r="I101" s="33"/>
      <c r="J101" s="51"/>
    </row>
    <row r="102" spans="2:10" ht="19.5" customHeight="1" x14ac:dyDescent="0.25">
      <c r="B102" s="52">
        <v>98</v>
      </c>
      <c r="C102" s="53"/>
      <c r="D102" s="53"/>
      <c r="E102" s="54"/>
      <c r="F102" s="54"/>
      <c r="G102" s="53"/>
      <c r="H102" s="53"/>
      <c r="I102" s="54"/>
      <c r="J102" s="2"/>
    </row>
    <row r="103" spans="2:10" ht="19.5" customHeight="1" x14ac:dyDescent="0.25">
      <c r="B103" s="50">
        <v>99</v>
      </c>
      <c r="C103" s="38"/>
      <c r="D103" s="38"/>
      <c r="E103" s="33"/>
      <c r="F103" s="33"/>
      <c r="G103" s="38"/>
      <c r="H103" s="38"/>
      <c r="I103" s="33"/>
      <c r="J103" s="51"/>
    </row>
    <row r="104" spans="2:10" ht="19.5" customHeight="1" x14ac:dyDescent="0.25">
      <c r="B104" s="52">
        <v>100</v>
      </c>
      <c r="C104" s="53"/>
      <c r="D104" s="53"/>
      <c r="E104" s="54"/>
      <c r="F104" s="54"/>
      <c r="G104" s="53"/>
      <c r="H104" s="53"/>
      <c r="I104" s="54"/>
      <c r="J104" s="2"/>
    </row>
    <row r="105" spans="2:10" ht="7.5" customHeight="1" x14ac:dyDescent="0.25"/>
    <row r="106" spans="2:10" ht="51.75" customHeight="1" x14ac:dyDescent="0.25">
      <c r="B106" s="412" t="s">
        <v>180</v>
      </c>
      <c r="C106" s="412"/>
      <c r="D106" s="412"/>
      <c r="E106" s="412"/>
      <c r="F106" s="412"/>
      <c r="G106" s="412"/>
      <c r="H106" s="412"/>
      <c r="I106" s="412"/>
    </row>
  </sheetData>
  <sheetProtection algorithmName="SHA-512" hashValue="2uStohdo+DXmTrajgzXLMOT1p77WlB3z8xHweXq7Db74ecYIaIkgDaN75SBWCXFNUr0aLBXvcChfE8iAGX5/Pw==" saltValue="OdE1tjd1IyVsFSG2yf3cdQ==" spinCount="100000" sheet="1"/>
  <mergeCells count="2">
    <mergeCell ref="B2:I2"/>
    <mergeCell ref="B106:I106"/>
  </mergeCells>
  <conditionalFormatting sqref="G5:G104">
    <cfRule type="expression" dxfId="3" priority="2">
      <formula>G5="Approved"</formula>
    </cfRule>
    <cfRule type="expression" dxfId="2" priority="3">
      <formula>G5="Declined"</formula>
    </cfRule>
    <cfRule type="expression" dxfId="1" priority="4">
      <formula>G5="Submitted"</formula>
    </cfRule>
    <cfRule type="expression" dxfId="0" priority="5">
      <formula>G5="Draft"</formula>
    </cfRule>
  </conditionalFormatting>
  <dataValidations count="4">
    <dataValidation type="date" operator="greaterThanOrEqual" allowBlank="1" showInputMessage="1" promptTitle="Date Entry" prompt="Enter week start date (YYYY-MM-DD)" sqref="E5:E104" xr:uid="{00000000-0002-0000-0500-000000000000}">
      <formula1>DATE(2020,1,1)</formula1>
      <formula2>0</formula2>
    </dataValidation>
    <dataValidation type="date" operator="greaterThanOrEqual" allowBlank="1" showInputMessage="1" promptTitle="Date Entry" prompt="Enter submission date (YYYY-MM-DD)" sqref="F5:F104" xr:uid="{00000000-0002-0000-0500-000001000000}">
      <formula1>DATE(2020,1,1)</formula1>
      <formula2>0</formula2>
    </dataValidation>
    <dataValidation type="date" operator="greaterThanOrEqual" allowBlank="1" showInputMessage="1" promptTitle="Date Entry" prompt="Enter action date (YYYY-MM-DD)" sqref="I5:I104" xr:uid="{00000000-0002-0000-0500-000002000000}">
      <formula1>DATE(2020,1,1)</formula1>
      <formula2>0</formula2>
    </dataValidation>
    <dataValidation type="list" allowBlank="1" showInputMessage="1" showErrorMessage="1" sqref="G5" xr:uid="{E6C257A8-5FC3-4218-8DF1-AC645E0A68A3}">
      <formula1>"Approved, Declined"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4"/>
  <sheetViews>
    <sheetView showGridLines="0" zoomScaleNormal="100" workbookViewId="0"/>
  </sheetViews>
  <sheetFormatPr defaultColWidth="8.7109375" defaultRowHeight="15" x14ac:dyDescent="0.25"/>
  <cols>
    <col min="1" max="5" width="22" customWidth="1"/>
    <col min="6" max="6" width="24" customWidth="1"/>
  </cols>
  <sheetData>
    <row r="1" spans="1:6" ht="15" customHeight="1" x14ac:dyDescent="0.25">
      <c r="A1" s="55" t="s">
        <v>114</v>
      </c>
      <c r="B1" s="55" t="s">
        <v>181</v>
      </c>
      <c r="C1" s="55" t="s">
        <v>182</v>
      </c>
      <c r="D1" s="55" t="s">
        <v>183</v>
      </c>
      <c r="E1" s="55" t="s">
        <v>184</v>
      </c>
      <c r="F1" s="56" t="s">
        <v>185</v>
      </c>
    </row>
    <row r="2" spans="1:6" ht="15" customHeight="1" x14ac:dyDescent="0.25">
      <c r="A2" s="57" t="s">
        <v>186</v>
      </c>
      <c r="B2" s="57" t="s">
        <v>187</v>
      </c>
      <c r="C2" s="57" t="s">
        <v>188</v>
      </c>
      <c r="D2" s="57" t="s">
        <v>189</v>
      </c>
      <c r="E2" s="57" t="s">
        <v>56</v>
      </c>
      <c r="F2" s="58" t="s">
        <v>187</v>
      </c>
    </row>
    <row r="3" spans="1:6" ht="15" customHeight="1" x14ac:dyDescent="0.25">
      <c r="A3" s="59" t="s">
        <v>164</v>
      </c>
      <c r="B3" s="59" t="s">
        <v>190</v>
      </c>
      <c r="C3" s="59" t="s">
        <v>191</v>
      </c>
      <c r="D3" s="59" t="s">
        <v>192</v>
      </c>
      <c r="E3" s="59" t="s">
        <v>193</v>
      </c>
      <c r="F3" s="60" t="s">
        <v>190</v>
      </c>
    </row>
    <row r="4" spans="1:6" ht="15" customHeight="1" x14ac:dyDescent="0.25">
      <c r="A4" s="57" t="s">
        <v>194</v>
      </c>
      <c r="B4" s="57" t="s">
        <v>195</v>
      </c>
      <c r="C4" s="57" t="s">
        <v>196</v>
      </c>
      <c r="D4" s="57" t="s">
        <v>197</v>
      </c>
      <c r="E4" s="57" t="s">
        <v>179</v>
      </c>
      <c r="F4" s="58" t="s">
        <v>195</v>
      </c>
    </row>
    <row r="5" spans="1:6" ht="15" customHeight="1" x14ac:dyDescent="0.25">
      <c r="B5" s="59" t="s">
        <v>198</v>
      </c>
      <c r="C5" s="59" t="s">
        <v>199</v>
      </c>
      <c r="D5" s="59" t="s">
        <v>200</v>
      </c>
      <c r="E5" s="59" t="s">
        <v>201</v>
      </c>
      <c r="F5" s="60" t="s">
        <v>198</v>
      </c>
    </row>
    <row r="6" spans="1:6" ht="15" customHeight="1" x14ac:dyDescent="0.25">
      <c r="B6" s="57" t="s">
        <v>202</v>
      </c>
      <c r="C6" s="57" t="s">
        <v>203</v>
      </c>
      <c r="D6" s="57" t="s">
        <v>204</v>
      </c>
      <c r="F6" s="58" t="s">
        <v>202</v>
      </c>
    </row>
    <row r="7" spans="1:6" ht="15" customHeight="1" x14ac:dyDescent="0.25">
      <c r="B7" s="59" t="s">
        <v>205</v>
      </c>
      <c r="C7" s="59" t="s">
        <v>206</v>
      </c>
      <c r="D7" s="59" t="s">
        <v>207</v>
      </c>
      <c r="F7" s="60" t="s">
        <v>205</v>
      </c>
    </row>
    <row r="8" spans="1:6" ht="15" customHeight="1" x14ac:dyDescent="0.25">
      <c r="B8" s="57" t="s">
        <v>208</v>
      </c>
      <c r="C8" s="57" t="s">
        <v>209</v>
      </c>
      <c r="D8" s="57" t="s">
        <v>210</v>
      </c>
      <c r="F8" s="58" t="s">
        <v>208</v>
      </c>
    </row>
    <row r="9" spans="1:6" ht="15" customHeight="1" x14ac:dyDescent="0.25">
      <c r="B9" s="59" t="s">
        <v>211</v>
      </c>
      <c r="F9" s="60" t="s">
        <v>211</v>
      </c>
    </row>
    <row r="10" spans="1:6" ht="15" customHeight="1" x14ac:dyDescent="0.25">
      <c r="B10" s="57" t="s">
        <v>212</v>
      </c>
      <c r="F10" s="58" t="s">
        <v>212</v>
      </c>
    </row>
    <row r="11" spans="1:6" ht="15" customHeight="1" x14ac:dyDescent="0.25">
      <c r="F11" s="60" t="s">
        <v>188</v>
      </c>
    </row>
    <row r="12" spans="1:6" ht="15" customHeight="1" x14ac:dyDescent="0.25">
      <c r="F12" s="58" t="s">
        <v>191</v>
      </c>
    </row>
    <row r="13" spans="1:6" ht="15" customHeight="1" x14ac:dyDescent="0.25">
      <c r="F13" s="60" t="s">
        <v>196</v>
      </c>
    </row>
    <row r="14" spans="1:6" ht="15" customHeight="1" x14ac:dyDescent="0.25">
      <c r="F14" s="58" t="s">
        <v>199</v>
      </c>
    </row>
    <row r="15" spans="1:6" ht="15" customHeight="1" x14ac:dyDescent="0.25">
      <c r="F15" s="60" t="s">
        <v>203</v>
      </c>
    </row>
    <row r="16" spans="1:6" ht="15" customHeight="1" x14ac:dyDescent="0.25">
      <c r="F16" s="58" t="s">
        <v>206</v>
      </c>
    </row>
    <row r="17" spans="6:6" ht="15" customHeight="1" x14ac:dyDescent="0.25">
      <c r="F17" s="60" t="s">
        <v>209</v>
      </c>
    </row>
    <row r="18" spans="6:6" ht="15" customHeight="1" x14ac:dyDescent="0.25">
      <c r="F18" s="58" t="s">
        <v>189</v>
      </c>
    </row>
    <row r="19" spans="6:6" ht="15" customHeight="1" x14ac:dyDescent="0.25">
      <c r="F19" s="60" t="s">
        <v>192</v>
      </c>
    </row>
    <row r="20" spans="6:6" ht="15" customHeight="1" x14ac:dyDescent="0.25">
      <c r="F20" s="58" t="s">
        <v>197</v>
      </c>
    </row>
    <row r="21" spans="6:6" ht="15" customHeight="1" x14ac:dyDescent="0.25">
      <c r="F21" s="60" t="s">
        <v>200</v>
      </c>
    </row>
    <row r="22" spans="6:6" ht="15" customHeight="1" x14ac:dyDescent="0.25">
      <c r="F22" s="58" t="s">
        <v>204</v>
      </c>
    </row>
    <row r="23" spans="6:6" ht="15" customHeight="1" x14ac:dyDescent="0.25">
      <c r="F23" s="60" t="s">
        <v>207</v>
      </c>
    </row>
    <row r="24" spans="6:6" ht="15" customHeight="1" x14ac:dyDescent="0.25">
      <c r="F24" s="58" t="s">
        <v>210</v>
      </c>
    </row>
  </sheetData>
  <sheetProtection password="C26A" sheet="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📋 Instructions</vt:lpstr>
      <vt:lpstr>Weekly Timesheet</vt:lpstr>
      <vt:lpstr>📄 Weekly Report</vt:lpstr>
      <vt:lpstr>📄 Weekly Report (Backup)</vt:lpstr>
      <vt:lpstr>📊 TIL Summary</vt:lpstr>
      <vt:lpstr>🏖 Vacation Summary</vt:lpstr>
      <vt:lpstr>📁 Approval Log</vt:lpstr>
      <vt:lpstr>🗂 Reference Data</vt:lpstr>
      <vt:lpstr>AdminSubs</vt:lpstr>
      <vt:lpstr>OfficeSubs</vt:lpstr>
      <vt:lpstr>'Weekly Timesheet'!Print_Area</vt:lpstr>
      <vt:lpstr>'📄 Weekly Report'!Print_Area</vt:lpstr>
      <vt:lpstr>'📄 Weekly Report (Backup)'!Print_Area</vt:lpstr>
      <vt:lpstr>ProjectSubs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Utsav Chovatia</cp:lastModifiedBy>
  <cp:revision>0</cp:revision>
  <cp:lastPrinted>2026-04-07T20:37:50Z</cp:lastPrinted>
  <dcterms:created xsi:type="dcterms:W3CDTF">2026-04-01T20:03:17Z</dcterms:created>
  <dcterms:modified xsi:type="dcterms:W3CDTF">2026-06-18T17:00:55Z</dcterms:modified>
  <dc:language>en-US</dc:language>
</cp:coreProperties>
</file>